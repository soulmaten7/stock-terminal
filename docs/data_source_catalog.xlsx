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기관별 엔드포인트 개수 요약" sheetId="1" state="visible" r:id="rId1"/>
    <sheet xmlns:r="http://schemas.openxmlformats.org/officeDocument/2006/relationships" name="1. SEC (EDGAR)" sheetId="2" state="visible" r:id="rId2"/>
    <sheet xmlns:r="http://schemas.openxmlformats.org/officeDocument/2006/relationships" name="2. Yahoo Finance (비공식 — 공식 문서 없" sheetId="3" state="visible" r:id="rId3"/>
    <sheet xmlns:r="http://schemas.openxmlformats.org/officeDocument/2006/relationships" name="3. Nasdaq Trader  api.nasdaq.co" sheetId="4" state="visible" r:id="rId4"/>
    <sheet xmlns:r="http://schemas.openxmlformats.org/officeDocument/2006/relationships" name="4. Damodaran (NYU Stern)" sheetId="5" state="visible" r:id="rId5"/>
    <sheet xmlns:r="http://schemas.openxmlformats.org/officeDocument/2006/relationships" name="4. Damodaran (NYU Stern)_2" sheetId="6" state="visible" r:id="rId6"/>
    <sheet xmlns:r="http://schemas.openxmlformats.org/officeDocument/2006/relationships" name="4. Damodaran (NYU Stern)_3" sheetId="7" state="visible" r:id="rId7"/>
    <sheet xmlns:r="http://schemas.openxmlformats.org/officeDocument/2006/relationships" name="4. Damodaran (NYU Stern)_4" sheetId="8" state="visible" r:id="rId8"/>
    <sheet xmlns:r="http://schemas.openxmlformats.org/officeDocument/2006/relationships" name="4. Damodaran (NYU Stern)_5" sheetId="9" state="visible" r:id="rId9"/>
    <sheet xmlns:r="http://schemas.openxmlformats.org/officeDocument/2006/relationships" name="5. SPDR  State Street Global Ad" sheetId="10" state="visible" r:id="rId10"/>
    <sheet xmlns:r="http://schemas.openxmlformats.org/officeDocument/2006/relationships" name="§1-B. 동종 US 서비스가 이 조합을 어떻게 쓰는가 " sheetId="11" state="visible" r:id="rId11"/>
    <sheet xmlns:r="http://schemas.openxmlformats.org/officeDocument/2006/relationships" name="라운드별 신규 발견 수 · 수렴 판정 (맨 앞)" sheetId="12" state="visible" r:id="rId12"/>
    <sheet xmlns:r="http://schemas.openxmlformats.org/officeDocument/2006/relationships" name="R1 — 기관 중심 조사 (27개 기관)" sheetId="13" state="visible" r:id="rId13"/>
    <sheet xmlns:r="http://schemas.openxmlformats.org/officeDocument/2006/relationships" name="R1 — 기관 중심 조사 (27개 기관)_2" sheetId="14" state="visible" r:id="rId14"/>
    <sheet xmlns:r="http://schemas.openxmlformats.org/officeDocument/2006/relationships" name="R1 — 기관 중심 조사 (27개 기관)_3" sheetId="15" state="visible" r:id="rId15"/>
    <sheet xmlns:r="http://schemas.openxmlformats.org/officeDocument/2006/relationships" name="R1 — 기관 중심 조사 (27개 기관)_4" sheetId="16" state="visible" r:id="rId16"/>
    <sheet xmlns:r="http://schemas.openxmlformats.org/officeDocument/2006/relationships" name="R1 — 기관 중심 조사 (27개 기관)_5" sheetId="17" state="visible" r:id="rId17"/>
    <sheet xmlns:r="http://schemas.openxmlformats.org/officeDocument/2006/relationships" name="R2 — 데이터 중심 역방향 검색 신규 발견 (29개)" sheetId="18" state="visible" r:id="rId18"/>
    <sheet xmlns:r="http://schemas.openxmlformats.org/officeDocument/2006/relationships" name="R3 — 동종서비스 역추적 신규 발견 (28개)" sheetId="19" state="visible" r:id="rId19"/>
    <sheet xmlns:r="http://schemas.openxmlformats.org/officeDocument/2006/relationships" name="R4 — 규제구조 기록 신규 발견 (3개)" sheetId="20" state="visible" r:id="rId20"/>
    <sheet xmlns:r="http://schemas.openxmlformats.org/officeDocument/2006/relationships" name="카테고리 분류" sheetId="21" state="visible" r:id="rId21"/>
    <sheet xmlns:r="http://schemas.openxmlformats.org/officeDocument/2006/relationships" name="슬롯 매핑" sheetId="22" state="visible" r:id="rId22"/>
    <sheet xmlns:r="http://schemas.openxmlformats.org/officeDocument/2006/relationships" name="슬롯 매핑_2" sheetId="23" state="visible" r:id="rId23"/>
    <sheet xmlns:r="http://schemas.openxmlformats.org/officeDocument/2006/relationships" name="슬롯 간 의존관계 (신규, 1002)" sheetId="24" state="visible" r:id="rId24"/>
    <sheet xmlns:r="http://schemas.openxmlformats.org/officeDocument/2006/relationships" name="슬롯 간 의존관계 (신규, 1002)_2" sheetId="25" state="visible" r:id="rId25"/>
    <sheet xmlns:r="http://schemas.openxmlformats.org/officeDocument/2006/relationships" name="슬롯 간 의존관계 (신규, 1002)_3" sheetId="26" state="visible" r:id="rId26"/>
    <sheet xmlns:r="http://schemas.openxmlformats.org/officeDocument/2006/relationships" name="슬롯 간 의존관계 (신규, 1002)_4" sheetId="27" state="visible" r:id="rId27"/>
    <sheet xmlns:r="http://schemas.openxmlformats.org/officeDocument/2006/relationships" name="즉시 이득 통합 목록 (997+998+999+1000+1" sheetId="28" state="visible" r:id="rId28"/>
    <sheet xmlns:r="http://schemas.openxmlformats.org/officeDocument/2006/relationships" name="🔴 이 카탈로그의 완료 조건 (신규, 1002 — &quot;완성" sheetId="29" state="visible" r:id="rId29"/>
    <sheet xmlns:r="http://schemas.openxmlformats.org/officeDocument/2006/relationships" name="과거 판정 흡수 (신규, 1002)" sheetId="30" state="visible" r:id="rId30"/>
    <sheet xmlns:r="http://schemas.openxmlformats.org/officeDocument/2006/relationships" name="과거 판정 흡수 (신규, 1002)_2" sheetId="31" state="visible" r:id="rId31"/>
    <sheet xmlns:r="http://schemas.openxmlformats.org/officeDocument/2006/relationships" name="과거 판정 흡수 (신규, 1002)_3" sheetId="32" state="visible" r:id="rId32"/>
    <sheet xmlns:r="http://schemas.openxmlformats.org/officeDocument/2006/relationships" name="과거 판정 흡수 (신규, 1002)_4" sheetId="33" state="visible" r:id="rId3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5.2" customWidth="1" min="1" max="1"/>
    <col width="36" customWidth="1" min="2" max="2"/>
    <col width="60" customWidth="1" min="3" max="3"/>
    <col width="57.6" customWidth="1" min="4" max="4"/>
  </cols>
  <sheetData>
    <row r="1">
      <c r="A1" t="inlineStr">
        <is>
          <t>기관</t>
        </is>
      </c>
      <c r="B1" t="inlineStr">
        <is>
          <t>전수 확인된 엔드포인트/데이터셋 수</t>
        </is>
      </c>
      <c r="C1" t="inlineStr">
        <is>
          <t>우리가 쓰는 수</t>
        </is>
      </c>
      <c r="D1" t="inlineStr">
        <is>
          <t>비고</t>
        </is>
      </c>
    </row>
    <row r="2">
      <c r="A2" t="inlineStr">
        <is>
          <t>SEC (EDGAR)</t>
        </is>
      </c>
      <c r="B2" t="inlineStr">
        <is>
          <t>13</t>
        </is>
      </c>
      <c r="C2" t="inlineStr">
        <is>
          <t>5(companyfacts·companyconcept·submissions·bulk zip·company_tickers_exchange)</t>
        </is>
      </c>
      <c r="D2" t="inlineStr">
        <is>
          <t>frames는 조회는 하나 개별판정엔 안 씀(횡단검증 전용)</t>
        </is>
      </c>
    </row>
    <row r="3">
      <c r="A3" t="inlineStr">
        <is>
          <t>Yahoo Finance(비공식)</t>
        </is>
      </c>
      <c r="B3" t="inlineStr">
        <is>
          <t>25+ 모듈/엔드포인트</t>
        </is>
      </c>
      <c r="C3" t="inlineStr">
        <is>
          <t>4(quote·quoteSummary[assetProfile]·chart·fundamentalsTimeSeries)</t>
        </is>
      </c>
      <c r="D3" t="inlineStr">
        <is>
          <t>quoteSummary 자체는 30여 서브모듈 중 1개만 씀</t>
        </is>
      </c>
    </row>
    <row r="4">
      <c r="A4" t="inlineStr">
        <is>
          <t>Nasdaq Trader/api.nasdaq.com</t>
        </is>
      </c>
      <c r="B4" t="inlineStr">
        <is>
          <t>24</t>
        </is>
      </c>
      <c r="C4" t="inlineStr">
        <is>
          <t>4(symdir 2개·screener·ipo/dividends calendar)</t>
        </is>
      </c>
      <c r="D4" t="inlineStr">
        <is>
          <t>대부분 비공식(api.nasdaq.com), symdir 2개만 공식 문서 있음</t>
        </is>
      </c>
    </row>
    <row r="5">
      <c r="A5" t="inlineStr">
        <is>
          <t>Damodaran(NYU)</t>
        </is>
      </c>
      <c r="B5" t="inlineStr">
        <is>
          <t>약 30개 파일(미국 컷 기준, 지역변형 제외)</t>
        </is>
      </c>
      <c r="C5" t="inlineStr">
        <is>
          <t>8(indname·taxrate·countrytaxrates·wacc·betas·capex·wcdata + totalbeta는 미사용)</t>
        </is>
      </c>
      <c r="D5" t="inlineStr">
        <is>
          <t>ratings.xls·fundgrEB.xls·histimpl.xls가 즉시 검토 후보(아래 §신규 발견 참조)</t>
        </is>
      </c>
    </row>
    <row r="6">
      <c r="A6" t="inlineStr">
        <is>
          <t>SPDR/State Street</t>
        </is>
      </c>
      <c r="B6" t="inlineStr">
        <is>
          <t>5개 제품군(섹터ETF·핵심지수ETF·산업ETF·팩터ETF·펀드메타파일)</t>
        </is>
      </c>
      <c r="C6" t="inlineStr">
        <is>
          <t>1(11개 섹터 ETF 홀딩스)</t>
        </is>
      </c>
      <c r="D6" t="inlineStr">
        <is>
          <t>`spdr-product-data-us-en.xlsx` 마스터 파일 신규 발견(전 SPDR 펀드 메타데이터 1파일)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5.1" customWidth="1" min="1" max="1"/>
    <col width="60" customWidth="1" min="2" max="2"/>
    <col width="36" customWidth="1" min="3" max="3"/>
    <col width="60" customWidth="1" min="4" max="4"/>
    <col width="10.8" customWidth="1" min="5" max="5"/>
    <col width="25.2" customWidth="1" min="6" max="6"/>
    <col width="20.7" customWidth="1" min="7" max="7"/>
    <col width="41.4" customWidth="1" min="8" max="8"/>
    <col width="32.4" customWidth="1" min="9" max="9"/>
  </cols>
  <sheetData>
    <row r="1">
      <c r="A1" t="inlineStr">
        <is>
          <t>엔드포인트</t>
        </is>
      </c>
      <c r="B1" t="inlineStr">
        <is>
          <t>URL 패턴</t>
        </is>
      </c>
      <c r="C1" t="inlineStr">
        <is>
          <t>무엇을 주는가(필드)</t>
        </is>
      </c>
      <c r="D1" t="inlineStr">
        <is>
          <t>정의</t>
        </is>
      </c>
      <c r="E1" t="inlineStr">
        <is>
          <t>형식</t>
        </is>
      </c>
      <c r="F1" t="inlineStr">
        <is>
          <t>크기</t>
        </is>
      </c>
      <c r="G1" t="inlineStr">
        <is>
          <t>갱신주기</t>
        </is>
      </c>
      <c r="H1" t="inlineStr">
        <is>
          <t>우리가 쓰는가</t>
        </is>
      </c>
      <c r="I1" t="inlineStr">
        <is>
          <t>어느 자리</t>
        </is>
      </c>
    </row>
    <row r="2">
      <c r="A2" t="inlineStr">
        <is>
          <t>companyfacts</t>
        </is>
      </c>
      <c r="B2" t="inlineStr">
        <is>
          <t>`data.sec.gov/api/xbrl/companyfacts/CIK##########.json`</t>
        </is>
      </c>
      <c r="C2" t="inlineStr">
        <is>
          <t>us-gaap·dei 전 태그의 연도별 값(모든 unit)</t>
        </is>
      </c>
      <c r="D2" t="inlineStr">
        <is>
          <t>기업이 실제 제출한 XBRL 사실 그대로(정정 이력 `accn` 포함)</t>
        </is>
      </c>
      <c r="E2" t="inlineStr">
        <is>
          <t>JSON</t>
        </is>
      </c>
      <c r="F2" t="inlineStr">
        <is>
          <t>종목당 평균 951KB(995 실측, 미압축)</t>
        </is>
      </c>
      <c r="G2" t="inlineStr">
        <is>
          <t>실시간(제출 즉시 반영, 처리지연 &lt;1분)</t>
        </is>
      </c>
      <c r="H2" t="inlineStr">
        <is>
          <t>✅ **값 추출 정본** — route.ts·lib/revdcf/drivers.ts</t>
        </is>
      </c>
      <c r="I2" t="inlineStr">
        <is>
          <t>순이익·자기자본·매출·영업이익·D&amp;A·부채·비영업자산·주식수 전부</t>
        </is>
      </c>
    </row>
    <row r="3">
      <c r="A3" t="inlineStr">
        <is>
          <t>companyconcept</t>
        </is>
      </c>
      <c r="B3" t="inlineStr">
        <is>
          <t>`data.sec.gov/api/xbrl/companyconcept/CIK##########/us-gaap/{tag}.json`</t>
        </is>
      </c>
      <c r="C3" t="inlineStr">
        <is>
          <t>단일 기업·단일 개념의 전 unit별 값</t>
        </is>
      </c>
      <c r="D3" t="inlineStr">
        <is>
          <t>companyfacts의 부분집합(태그 1개)</t>
        </is>
      </c>
      <c r="E3" t="inlineStr">
        <is>
          <t>JSON</t>
        </is>
      </c>
      <c r="F3" t="inlineStr">
        <is>
          <t>작음</t>
        </is>
      </c>
      <c r="G3" t="inlineStr">
        <is>
          <t>실시간</t>
        </is>
      </c>
      <c r="H3" t="inlineStr">
        <is>
          <t>부분(구 probe 스크립트)</t>
        </is>
      </c>
      <c r="I3" t="inlineStr">
        <is>
          <t>위와 동일(단일태그 조회용)</t>
        </is>
      </c>
    </row>
    <row r="4">
      <c r="A4" t="inlineStr">
        <is>
          <t>frames</t>
        </is>
      </c>
      <c r="B4" t="inlineStr">
        <is>
          <t>`data.sec.gov/api/xbrl/frames/{ns}/{tag}/{unit}/CY####[Q#][I].json`</t>
        </is>
      </c>
      <c r="C4" t="inlineStr">
        <is>
          <t>태그 1개·기간 1개의 **전 기업** 최종 제출값</t>
        </is>
      </c>
      <c r="D4" t="inlineStr">
        <is>
          <t>"가장 최근 제출된 사실 1건" + 기간 365일±30일(연간)/91일±30일(분기) 정합</t>
        </is>
      </c>
      <c r="E4" t="inlineStr">
        <is>
          <t>JSON</t>
        </is>
      </c>
      <c r="F4" t="inlineStr">
        <is>
          <t>태그·기간별 상이(작음)</t>
        </is>
      </c>
      <c r="G4" t="inlineStr">
        <is>
          <t>실시간</t>
        </is>
      </c>
      <c r="H4" t="inlineStr">
        <is>
          <t>✅ **횡단면 카운트·교차검증 전용**(개별판정 금지, §3-1 참조)</t>
        </is>
      </c>
      <c r="I4" t="inlineStr">
        <is>
          <t>유니버스 커버리지 측정용(값 추출엔 안 씀)</t>
        </is>
      </c>
    </row>
    <row r="5">
      <c r="A5" t="inlineStr">
        <is>
          <t>submissions</t>
        </is>
      </c>
      <c r="B5" t="inlineStr">
        <is>
          <t>`data.sec.gov/submissions/CIK##########.json`</t>
        </is>
      </c>
      <c r="C5" t="inlineStr">
        <is>
          <t>제출이력·현재상호·구상호·거래소·티커</t>
        </is>
      </c>
      <c r="D5" t="inlineStr">
        <is>
          <t>기업 메타데이터(SIC 포함)</t>
        </is>
      </c>
      <c r="E5" t="inlineStr">
        <is>
          <t>JSON</t>
        </is>
      </c>
      <c r="F5" t="inlineStr">
        <is>
          <t>종목당 수십~수백KB</t>
        </is>
      </c>
      <c r="G5" t="inlineStr">
        <is>
          <t>실시간(&lt;1초 지연)</t>
        </is>
      </c>
      <c r="H5" t="inlineStr">
        <is>
          <t>✅ 8-K 피드(lib/eightK.ts)·구 probe</t>
        </is>
      </c>
      <c r="I5" t="inlineStr">
        <is>
          <t>섹터(SIC 보조)·8-K 이벤트</t>
        </is>
      </c>
    </row>
    <row r="6">
      <c r="A6" t="inlineStr">
        <is>
          <t>companyfacts.zip(벌크)</t>
        </is>
      </c>
      <c r="B6" t="inlineStr">
        <is>
          <t>`sec.gov/Archives/edgar/daily-index/xbrl/companyfacts.zip`</t>
        </is>
      </c>
      <c r="C6" t="inlineStr">
        <is>
          <t>companyfacts 전체(20,200개 CIK)</t>
        </is>
      </c>
      <c r="D6" t="inlineStr">
        <is>
          <t>위와 동일(같은 원자료)</t>
        </is>
      </c>
      <c r="E6" t="inlineStr">
        <is>
          <t>ZIP(내부 JSON)</t>
        </is>
      </c>
      <c r="F6" t="inlineStr">
        <is>
          <t>1.4GB 압축·19.2GB 압축해제(995 실측)</t>
        </is>
      </c>
      <c r="G6" t="inlineStr">
        <is>
          <t>**매일 03:00 ET**</t>
        </is>
      </c>
      <c r="H6" t="inlineStr">
        <is>
          <t>✅ **STEP995~996 도입** — Range 부분접근</t>
        </is>
      </c>
      <c r="I6" t="inlineStr">
        <is>
          <t>위와 동일, 전 유니버스</t>
        </is>
      </c>
    </row>
    <row r="7">
      <c r="A7" t="inlineStr">
        <is>
          <t>submissions.zip(벌크)</t>
        </is>
      </c>
      <c r="B7" t="inlineStr">
        <is>
          <t>`sec.gov/Archives/edgar/daily-index/bulkdata/submissions.zip`</t>
        </is>
      </c>
      <c r="C7" t="inlineStr">
        <is>
          <t>submissions 전체</t>
        </is>
      </c>
      <c r="D7" t="inlineStr">
        <is>
          <t>위와 동일</t>
        </is>
      </c>
      <c r="E7" t="inlineStr">
        <is>
          <t>ZIP(내부 JSON)</t>
        </is>
      </c>
      <c r="F7" t="inlineStr">
        <is>
          <t>미측정(이번 STEP 범위 밖)</t>
        </is>
      </c>
      <c r="G7" t="inlineStr">
        <is>
          <t>매일 03:00 ET</t>
        </is>
      </c>
      <c r="H7" t="inlineStr">
        <is>
          <t>❌ 미사용(개별 API로 충분한 빈도)</t>
        </is>
      </c>
      <c r="I7" t="inlineStr">
        <is>
          <t>섹터·메타 확장 후보</t>
        </is>
      </c>
    </row>
    <row r="8">
      <c r="A8" t="inlineStr">
        <is>
          <t>Financial Statement Data Sets</t>
        </is>
      </c>
      <c r="B8" t="inlineStr">
        <is>
          <t>`sec.gov/data-research/sec-markets-data/financial-statement-data-sets`</t>
        </is>
      </c>
      <c r="C8" t="inlineStr">
        <is>
          <t>재무제표 표면 숫자(num·pre·sub·tag 4개 CSV) + SIC</t>
        </is>
      </c>
      <c r="D8" t="inlineStr">
        <is>
          <t>"as filed" 그대로(정정본 별도 처리 안 됨), 원문 인용: *"presented without change from the as filed financial reports"*</t>
        </is>
      </c>
      <c r="E8" t="inlineStr">
        <is>
          <t>ZIP(CSV)</t>
        </is>
      </c>
      <c r="F8" t="inlineStr">
        <is>
          <t>미측정</t>
        </is>
      </c>
      <c r="G8" t="inlineStr">
        <is>
          <t>**분기**(다음 분기 게시에 반영)</t>
        </is>
      </c>
      <c r="H8" t="inlineStr">
        <is>
          <t>❌ 미사용(§3-2에서 불필요 판정)</t>
        </is>
      </c>
      <c r="I8" t="inlineStr">
        <is>
          <t>값 추출 대안(비권장)</t>
        </is>
      </c>
    </row>
    <row r="9">
      <c r="A9" t="inlineStr">
        <is>
          <t>Financial Statement and Notes Data Sets</t>
        </is>
      </c>
      <c r="B9" t="inlineStr">
        <is>
          <t>`sec.gov/data-research/sec-markets-data/financial-statement-notes-data-sets`</t>
        </is>
      </c>
      <c r="C9" t="inlineStr">
        <is>
          <t>위보다 넓음(주석 전체 포함)</t>
        </is>
      </c>
      <c r="D9" t="inlineStr">
        <is>
          <t>위와 동일 원칙</t>
        </is>
      </c>
      <c r="E9" t="inlineStr">
        <is>
          <t>ZIP(CSV)</t>
        </is>
      </c>
      <c r="F9" t="inlineStr">
        <is>
          <t>미측정(더 큼)</t>
        </is>
      </c>
      <c r="G9" t="inlineStr">
        <is>
          <t>**월별**(2023-04~)</t>
        </is>
      </c>
      <c r="H9" t="inlineStr">
        <is>
          <t>❌ 미사용</t>
        </is>
      </c>
      <c r="I9" t="inlineStr">
        <is>
          <t>주석 상세 추출 후보(미검토)</t>
        </is>
      </c>
    </row>
    <row r="10">
      <c r="A10" t="inlineStr">
        <is>
          <t>company_tickers.json</t>
        </is>
      </c>
      <c r="B10" t="inlineStr">
        <is>
          <t>`sec.gov/files/company_tickers.json`</t>
        </is>
      </c>
      <c r="C10" t="inlineStr">
        <is>
          <t>티커↔CIK(거래소 정보 없음)</t>
        </is>
      </c>
      <c r="D10" t="inlineStr">
        <is>
          <t>SEC 자체 매핑</t>
        </is>
      </c>
      <c r="E10" t="inlineStr">
        <is>
          <t>JSON</t>
        </is>
      </c>
      <c r="F10" t="inlineStr">
        <is>
          <t>작음</t>
        </is>
      </c>
      <c r="G10" t="inlineStr">
        <is>
          <t>매일 갱신(last-modified 확인)</t>
        </is>
      </c>
      <c r="H10" t="inlineStr">
        <is>
          <t>❌(exchange 버전 사용)</t>
        </is>
      </c>
      <c r="I10" t="inlineStr">
        <is>
          <t>CIK 매핑</t>
        </is>
      </c>
    </row>
    <row r="11">
      <c r="A11" t="inlineStr">
        <is>
          <t>company_tickers_exchange.json</t>
        </is>
      </c>
      <c r="B11" t="inlineStr">
        <is>
          <t>`sec.gov/files/company_tickers_exchange.json`</t>
        </is>
      </c>
      <c r="C11" t="inlineStr">
        <is>
          <t>티커↔CIK↔거래소</t>
        </is>
      </c>
      <c r="D11" t="inlineStr">
        <is>
          <t>위 + 거래소</t>
        </is>
      </c>
      <c r="E11" t="inlineStr">
        <is>
          <t>JSON</t>
        </is>
      </c>
      <c r="F11" t="inlineStr">
        <is>
          <t>작음(10,432행)</t>
        </is>
      </c>
      <c r="G11" t="inlineStr">
        <is>
          <t>매일 갱신(실측 확인)</t>
        </is>
      </c>
      <c r="H11" t="inlineStr">
        <is>
          <t>✅ **us_cik_map 정본**</t>
        </is>
      </c>
      <c r="I11" t="inlineStr">
        <is>
          <t>CIK 매핑</t>
        </is>
      </c>
    </row>
    <row r="12">
      <c r="A12" t="inlineStr">
        <is>
          <t>Full Text Search API</t>
        </is>
      </c>
      <c r="B12" t="inlineStr">
        <is>
          <t>`efts.sec.gov/LATEST/search-index?q=...&amp;forms=...`</t>
        </is>
      </c>
      <c r="C12" t="inlineStr">
        <is>
          <t>제출문서 전문검색(스니펫·CIK·양식·날짜)</t>
        </is>
      </c>
      <c r="D12" t="inlineStr">
        <is>
          <t>색인된 전문검색(2001~)</t>
        </is>
      </c>
      <c r="E12" t="inlineStr">
        <is>
          <t>JSON</t>
        </is>
      </c>
      <c r="F12" t="inlineStr">
        <is>
          <t>쿼리당 소량</t>
        </is>
      </c>
      <c r="G12" t="inlineStr">
        <is>
          <t>실시간</t>
        </is>
      </c>
      <c r="H12" t="inlineStr">
        <is>
          <t>❌ 미사용</t>
        </is>
      </c>
      <c r="I12" t="inlineStr">
        <is>
          <t>특정 키워드(소송·정정 공시 등) 탐지 후보</t>
        </is>
      </c>
    </row>
    <row r="13">
      <c r="A13" t="inlineStr">
        <is>
          <t>EDGAR daily/full index</t>
        </is>
      </c>
      <c r="B13" t="inlineStr">
        <is>
          <t>`sec.gov/Archives/edgar/daily-index/`·`full-index/`</t>
        </is>
      </c>
      <c r="C13" t="inlineStr">
        <is>
          <t>그날/그분기 전 제출 목록(CIK·회사명·양식·날짜·파일경로)</t>
        </is>
      </c>
      <c r="D13" t="inlineStr">
        <is>
          <t>SEC 색인 그대로</t>
        </is>
      </c>
      <c r="E13" t="inlineStr">
        <is>
          <t>TXT/CSV/JSON</t>
        </is>
      </c>
      <c r="F13" t="inlineStr">
        <is>
          <t>일별 소량</t>
        </is>
      </c>
      <c r="G13" t="inlineStr">
        <is>
          <t>매일</t>
        </is>
      </c>
      <c r="H13" t="inlineStr">
        <is>
          <t>❌ 미사용</t>
        </is>
      </c>
      <c r="I13" t="inlineStr">
        <is>
          <t>"오늘 뭐가 제출됐나" 피드 후보</t>
        </is>
      </c>
    </row>
    <row r="14">
      <c r="A14" t="inlineStr">
        <is>
          <t>Public Dissemination Service(PDS)</t>
        </is>
      </c>
      <c r="B14" t="inlineStr">
        <is>
          <t>별도 유료 실시간 피드</t>
        </is>
      </c>
      <c r="C14" t="inlineStr">
        <is>
          <t>제출 즉시 원문 스트림</t>
        </is>
      </c>
      <c r="D14" t="inlineStr">
        <is>
          <t>—</t>
        </is>
      </c>
      <c r="E14" t="inlineStr">
        <is>
          <t>—</t>
        </is>
      </c>
      <c r="F14" t="inlineStr">
        <is>
          <t>—</t>
        </is>
      </c>
      <c r="G14" t="inlineStr">
        <is>
          <t>유료(구독)</t>
        </is>
      </c>
      <c r="H14" t="inlineStr">
        <is>
          <t>❌ 미사용(비용)</t>
        </is>
      </c>
      <c r="I14" t="inlineStr">
        <is>
          <t>실시간성 극대화 후보(비용 이슈)</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60" customWidth="1" min="1" max="1"/>
    <col width="60" customWidth="1" min="2" max="2"/>
    <col width="33.3" customWidth="1" min="3" max="3"/>
    <col width="10" customWidth="1" min="4" max="4"/>
    <col width="10" customWidth="1" min="5" max="5"/>
    <col width="24.3" customWidth="1" min="6" max="6"/>
    <col width="41.4" customWidth="1" min="7" max="7"/>
  </cols>
  <sheetData>
    <row r="1">
      <c r="A1" t="inlineStr">
        <is>
          <t>엔드포인트/모듈</t>
        </is>
      </c>
      <c r="B1" t="inlineStr">
        <is>
          <t>주요 필드</t>
        </is>
      </c>
      <c r="C1" t="inlineStr">
        <is>
          <t>정의</t>
        </is>
      </c>
      <c r="D1" t="inlineStr">
        <is>
          <t>형식</t>
        </is>
      </c>
      <c r="E1" t="inlineStr">
        <is>
          <t>갱신주기</t>
        </is>
      </c>
      <c r="F1" t="inlineStr">
        <is>
          <t>우리가 쓰는가</t>
        </is>
      </c>
      <c r="G1" t="inlineStr">
        <is>
          <t>어느 자리</t>
        </is>
      </c>
    </row>
    <row r="2">
      <c r="A2" t="inlineStr">
        <is>
          <t>`quote()`(`v7/finance/quote`)</t>
        </is>
      </c>
      <c r="B2" t="inlineStr">
        <is>
          <t>marketCap·sharesOutstanding·regularMarketPrice·trailingPE·priceToBook 등</t>
        </is>
      </c>
      <c r="C2" t="inlineStr">
        <is>
          <t>marketCap 계산기준 미명시(shares×price로 추정)</t>
        </is>
      </c>
      <c r="D2" t="inlineStr">
        <is>
          <t>JSON</t>
        </is>
      </c>
      <c r="E2" t="inlineStr">
        <is>
          <t>실시간/15분지연</t>
        </is>
      </c>
      <c r="F2" t="inlineStr">
        <is>
          <t>✅ **us_market_cap 정본**(배치)</t>
        </is>
      </c>
      <c r="G2" t="inlineStr">
        <is>
          <t>시총·주가·주식수</t>
        </is>
      </c>
    </row>
    <row r="3">
      <c r="A3" t="inlineStr">
        <is>
          <t>`quoteSummary(assetProfile)`</t>
        </is>
      </c>
      <c r="B3" t="inlineStr">
        <is>
          <t>sector·industry·주소·임원·리스크점수</t>
        </is>
      </c>
      <c r="C3" t="inlineStr">
        <is>
          <t>자체 분류(GICS 아님, 매핑표 없음)</t>
        </is>
      </c>
      <c r="D3" t="inlineStr">
        <is>
          <t>JSON</t>
        </is>
      </c>
      <c r="E3" t="inlineStr">
        <is>
          <t>비정기</t>
        </is>
      </c>
      <c r="F3" t="inlineStr">
        <is>
          <t>✅ **섹터 3순위**(lib/sector.ts)</t>
        </is>
      </c>
      <c r="G3" t="inlineStr">
        <is>
          <t>섹터</t>
        </is>
      </c>
    </row>
    <row r="4">
      <c r="A4" t="inlineStr">
        <is>
          <t>`quoteSummary(summaryDetail)`</t>
        </is>
      </c>
      <c r="B4" t="inlineStr">
        <is>
          <t>marketCap·beta·trailingPE·dividendYield 등</t>
        </is>
      </c>
      <c r="C4" t="inlineStr">
        <is>
          <t>v7/quote와 **별도 코드경로**</t>
        </is>
      </c>
      <c r="D4" t="inlineStr">
        <is>
          <t>JSON</t>
        </is>
      </c>
      <c r="E4" t="inlineStr">
        <is>
          <t>실시간/일별</t>
        </is>
      </c>
      <c r="F4" t="inlineStr">
        <is>
          <t>❌ 미사용</t>
        </is>
      </c>
      <c r="G4" t="inlineStr">
        <is>
          <t>🔑 **시총 대체경로 후보**(§3-3)</t>
        </is>
      </c>
    </row>
    <row r="5">
      <c r="A5" t="inlineStr">
        <is>
          <t>`quoteSummary(defaultKeyStatistics)`</t>
        </is>
      </c>
      <c r="B5" t="inlineStr">
        <is>
          <t>sharesOutstanding·floatShares·bookValue·enterpriseValue·pegRatio</t>
        </is>
      </c>
      <c r="C5" t="inlineStr">
        <is>
          <t>미명시</t>
        </is>
      </c>
      <c r="D5" t="inlineStr">
        <is>
          <t>JSON</t>
        </is>
      </c>
      <c r="E5" t="inlineStr">
        <is>
          <t>분기 갱신</t>
        </is>
      </c>
      <c r="F5" t="inlineStr">
        <is>
          <t>❌ 미사용</t>
        </is>
      </c>
      <c r="G5" t="inlineStr">
        <is>
          <t>🔑 **주식수 독립 소스**(시총 파생계산 후보)</t>
        </is>
      </c>
    </row>
    <row r="6">
      <c r="A6" t="inlineStr">
        <is>
          <t>`quoteSummary(price)`</t>
        </is>
      </c>
      <c r="B6" t="inlineStr">
        <is>
          <t>marketCap·regularMarketPrice·exchange</t>
        </is>
      </c>
      <c r="C6" t="inlineStr">
        <is>
          <t>미명시</t>
        </is>
      </c>
      <c r="D6" t="inlineStr">
        <is>
          <t>JSON</t>
        </is>
      </c>
      <c r="E6" t="inlineStr">
        <is>
          <t>실시간</t>
        </is>
      </c>
      <c r="F6" t="inlineStr">
        <is>
          <t>❌ 미사용</t>
        </is>
      </c>
      <c r="G6" t="inlineStr">
        <is>
          <t>시총·주가 대체경로</t>
        </is>
      </c>
    </row>
    <row r="7">
      <c r="A7" t="inlineStr">
        <is>
          <t>`quoteSummary(financialData)`</t>
        </is>
      </c>
      <c r="B7" t="inlineStr">
        <is>
          <t>totalCash·totalDebt·totalRevenue·ebitda·margins·FCF</t>
        </is>
      </c>
      <c r="C7" t="inlineStr">
        <is>
          <t>TTM 기준(정확한 기준일 미명시)</t>
        </is>
      </c>
      <c r="D7" t="inlineStr">
        <is>
          <t>JSON</t>
        </is>
      </c>
      <c r="E7" t="inlineStr">
        <is>
          <t>분기</t>
        </is>
      </c>
      <c r="F7" t="inlineStr">
        <is>
          <t>❌ 미사용(SEC가 정본)</t>
        </is>
      </c>
      <c r="G7" t="inlineStr">
        <is>
          <t>재무 교차검증 후보</t>
        </is>
      </c>
    </row>
    <row r="8">
      <c r="A8" t="inlineStr">
        <is>
          <t>`quoteSummary(incomeStatementHistory[Quarterly])`</t>
        </is>
      </c>
      <c r="B8" t="inlineStr">
        <is>
          <t>매출·매출원가·매출총이익·영업비용·영업이익·순이익</t>
        </is>
      </c>
      <c r="C8" t="inlineStr">
        <is>
          <t>정정 반영 여부 미명시</t>
        </is>
      </c>
      <c r="D8" t="inlineStr">
        <is>
          <t>JSON</t>
        </is>
      </c>
      <c r="E8" t="inlineStr">
        <is>
          <t>분기/연</t>
        </is>
      </c>
      <c r="F8" t="inlineStr">
        <is>
          <t>❌ 미사용</t>
        </is>
      </c>
      <c r="G8" t="inlineStr">
        <is>
          <t>손익 교차검증</t>
        </is>
      </c>
    </row>
    <row r="9">
      <c r="A9" t="inlineStr">
        <is>
          <t>`quoteSummary(balanceSheetHistory[Quarterly])`</t>
        </is>
      </c>
      <c r="B9" t="inlineStr">
        <is>
          <t>총자산·총부채·자기자본·현금·부채</t>
        </is>
      </c>
      <c r="C9" t="inlineStr">
        <is>
          <t>미명시</t>
        </is>
      </c>
      <c r="D9" t="inlineStr">
        <is>
          <t>JSON</t>
        </is>
      </c>
      <c r="E9" t="inlineStr">
        <is>
          <t>분기/연</t>
        </is>
      </c>
      <c r="F9" t="inlineStr">
        <is>
          <t>❌ 미사용</t>
        </is>
      </c>
      <c r="G9" t="inlineStr">
        <is>
          <t>재무상태 교차검증</t>
        </is>
      </c>
    </row>
    <row r="10">
      <c r="A10" t="inlineStr">
        <is>
          <t>`quoteSummary(cashflowStatementHistory[Quarterly])`</t>
        </is>
      </c>
      <c r="B10" t="inlineStr">
        <is>
          <t>영업현금흐름·CapEx·FCF·배당지급</t>
        </is>
      </c>
      <c r="C10" t="inlineStr">
        <is>
          <t>미명시</t>
        </is>
      </c>
      <c r="D10" t="inlineStr">
        <is>
          <t>JSON</t>
        </is>
      </c>
      <c r="E10" t="inlineStr">
        <is>
          <t>분기/연</t>
        </is>
      </c>
      <c r="F10" t="inlineStr">
        <is>
          <t>❌ 미사용</t>
        </is>
      </c>
      <c r="G10" t="inlineStr">
        <is>
          <t>현금흐름 교차검증</t>
        </is>
      </c>
    </row>
    <row r="11">
      <c r="A11" t="inlineStr">
        <is>
          <t>`quoteSummary(earnings)`</t>
        </is>
      </c>
      <c r="B11" t="inlineStr">
        <is>
          <t>분기 실적 실제vs추정·연간차트</t>
        </is>
      </c>
      <c r="C11" t="inlineStr">
        <is>
          <t>추정치 출처 미명시</t>
        </is>
      </c>
      <c r="D11" t="inlineStr">
        <is>
          <t>JSON</t>
        </is>
      </c>
      <c r="E11" t="inlineStr">
        <is>
          <t>분기</t>
        </is>
      </c>
      <c r="F11" t="inlineStr">
        <is>
          <t>❌ 미사용</t>
        </is>
      </c>
      <c r="G11" t="inlineStr">
        <is>
          <t>어닝서프라이즈(과거 SUE 검토에서 이미 기각된 방향)</t>
        </is>
      </c>
    </row>
    <row r="12">
      <c r="A12" t="inlineStr">
        <is>
          <t>`quoteSummary(earningsHistory)`</t>
        </is>
      </c>
      <c r="B12" t="inlineStr">
        <is>
          <t>EPS 실제·추정·서프라이즈%</t>
        </is>
      </c>
      <c r="C12" t="inlineStr">
        <is>
          <t>미명시</t>
        </is>
      </c>
      <c r="D12" t="inlineStr">
        <is>
          <t>JSON</t>
        </is>
      </c>
      <c r="E12" t="inlineStr">
        <is>
          <t>분기</t>
        </is>
      </c>
      <c r="F12" t="inlineStr">
        <is>
          <t>❌ 미사용</t>
        </is>
      </c>
      <c r="G12" t="inlineStr">
        <is>
          <t>상동</t>
        </is>
      </c>
    </row>
    <row r="13">
      <c r="A13" t="inlineStr">
        <is>
          <t>`quoteSummary(earningsTrend)`</t>
        </is>
      </c>
      <c r="B13" t="inlineStr">
        <is>
          <t>향후 분기·연도 애널리스트 컨센서스(성장률·추정치)</t>
        </is>
      </c>
      <c r="C13" t="inlineStr">
        <is>
          <t>컨센서스 기여자 수 미명시</t>
        </is>
      </c>
      <c r="D13" t="inlineStr">
        <is>
          <t>JSON</t>
        </is>
      </c>
      <c r="E13" t="inlineStr">
        <is>
          <t>주간 갱신</t>
        </is>
      </c>
      <c r="F13" t="inlineStr">
        <is>
          <t>❌ 미사용</t>
        </is>
      </c>
      <c r="G13" t="inlineStr">
        <is>
          <t>🔑 **역DCF 성장경로(층5) 후보** — 컨센서스 부재가 "가장 큰 구멍"이었음</t>
        </is>
      </c>
    </row>
    <row r="14">
      <c r="A14" t="inlineStr">
        <is>
          <t>`quoteSummary(recommendationTrend)`</t>
        </is>
      </c>
      <c r="B14" t="inlineStr">
        <is>
          <t>매수/보유/매도 등급 카운트(월별)</t>
        </is>
      </c>
      <c r="C14" t="inlineStr">
        <is>
          <t>미명시</t>
        </is>
      </c>
      <c r="D14" t="inlineStr">
        <is>
          <t>JSON</t>
        </is>
      </c>
      <c r="E14" t="inlineStr">
        <is>
          <t>월별 버킷</t>
        </is>
      </c>
      <c r="F14" t="inlineStr">
        <is>
          <t>❌ 미사용</t>
        </is>
      </c>
      <c r="G14" t="inlineStr">
        <is>
          <t>해당없음(추천 안 함 원칙과 충돌)</t>
        </is>
      </c>
    </row>
    <row r="15">
      <c r="A15" t="inlineStr">
        <is>
          <t>`quoteSummary(upgradeDowngradeHistory)`</t>
        </is>
      </c>
      <c r="B15" t="inlineStr">
        <is>
          <t>등급 변경 이력</t>
        </is>
      </c>
      <c r="C15" t="inlineStr">
        <is>
          <t>미명시</t>
        </is>
      </c>
      <c r="D15" t="inlineStr">
        <is>
          <t>JSON</t>
        </is>
      </c>
      <c r="E15" t="inlineStr">
        <is>
          <t>이벤트성</t>
        </is>
      </c>
      <c r="F15" t="inlineStr">
        <is>
          <t>❌ 미사용</t>
        </is>
      </c>
      <c r="G15" t="inlineStr">
        <is>
          <t>해당없음</t>
        </is>
      </c>
    </row>
    <row r="16">
      <c r="A16" t="inlineStr">
        <is>
          <t>`quoteSummary(insiderHolders/insiderTransactions)`</t>
        </is>
      </c>
      <c r="B16" t="inlineStr">
        <is>
          <t>내부자 보유·거래 내역</t>
        </is>
      </c>
      <c r="C16" t="inlineStr">
        <is>
          <t>Form4 기반(지연 미명시)</t>
        </is>
      </c>
      <c r="D16" t="inlineStr">
        <is>
          <t>JSON</t>
        </is>
      </c>
      <c r="E16" t="inlineStr">
        <is>
          <t>이벤트성</t>
        </is>
      </c>
      <c r="F16" t="inlineStr">
        <is>
          <t>❌ 미사용</t>
        </is>
      </c>
      <c r="G16" t="inlineStr">
        <is>
          <t>소유구조 신호 후보</t>
        </is>
      </c>
    </row>
    <row r="17">
      <c r="A17" t="inlineStr">
        <is>
          <t>`quoteSummary(institutionOwnership/fundOwnership/majorHoldersBreakdown)`</t>
        </is>
      </c>
      <c r="B17" t="inlineStr">
        <is>
          <t>기관·펀드 보유비율</t>
        </is>
      </c>
      <c r="C17" t="inlineStr">
        <is>
          <t>13F 기반(법정 45일 지연)</t>
        </is>
      </c>
      <c r="D17" t="inlineStr">
        <is>
          <t>JSON</t>
        </is>
      </c>
      <c r="E17" t="inlineStr">
        <is>
          <t>분기</t>
        </is>
      </c>
      <c r="F17" t="inlineStr">
        <is>
          <t>❌ 미사용</t>
        </is>
      </c>
      <c r="G17" t="inlineStr">
        <is>
          <t>소유구조 신호 후보</t>
        </is>
      </c>
    </row>
    <row r="18">
      <c r="A18" t="inlineStr">
        <is>
          <t>`quoteSummary(netSharePurchaseActivity)`</t>
        </is>
      </c>
      <c r="B18" t="inlineStr">
        <is>
          <t>내부자 순매수/매도</t>
        </is>
      </c>
      <c r="C18" t="inlineStr">
        <is>
          <t>미명시</t>
        </is>
      </c>
      <c r="D18" t="inlineStr">
        <is>
          <t>JSON</t>
        </is>
      </c>
      <c r="E18" t="inlineStr">
        <is>
          <t>분기/반기</t>
        </is>
      </c>
      <c r="F18" t="inlineStr">
        <is>
          <t>❌ 미사용</t>
        </is>
      </c>
      <c r="G18" t="inlineStr">
        <is>
          <t>소유구조 신호</t>
        </is>
      </c>
    </row>
    <row r="19">
      <c r="A19" t="inlineStr">
        <is>
          <t>`quoteSummary(calendarEvents)`</t>
        </is>
      </c>
      <c r="B19" t="inlineStr">
        <is>
          <t>실적발표일·배당락일</t>
        </is>
      </c>
      <c r="C19" t="inlineStr">
        <is>
          <t>미명시</t>
        </is>
      </c>
      <c r="D19" t="inlineStr">
        <is>
          <t>JSON</t>
        </is>
      </c>
      <c r="E19" t="inlineStr">
        <is>
          <t>확정시 갱신</t>
        </is>
      </c>
      <c r="F19" t="inlineStr">
        <is>
          <t>❌ 미사용</t>
        </is>
      </c>
      <c r="G19" t="inlineStr">
        <is>
          <t>이벤트 캘린더 후보</t>
        </is>
      </c>
    </row>
    <row r="20">
      <c r="A20" t="inlineStr">
        <is>
          <t>`quoteSummary(secFilings)`</t>
        </is>
      </c>
      <c r="B20" t="inlineStr">
        <is>
          <t>EDGAR 제출 목록(직접 링크)</t>
        </is>
      </c>
      <c r="C20" t="inlineStr">
        <is>
          <t>SEC 색인 패스스루</t>
        </is>
      </c>
      <c r="D20" t="inlineStr">
        <is>
          <t>JSON</t>
        </is>
      </c>
      <c r="E20" t="inlineStr">
        <is>
          <t>이벤트성</t>
        </is>
      </c>
      <c r="F20" t="inlineStr">
        <is>
          <t>❌ 미사용</t>
        </is>
      </c>
      <c r="G20" t="inlineStr">
        <is>
          <t>SEC 원문 링크 보조</t>
        </is>
      </c>
    </row>
    <row r="21">
      <c r="A21" t="inlineStr">
        <is>
          <t>`quoteSummary(quoteType)`</t>
        </is>
      </c>
      <c r="B21" t="inlineStr">
        <is>
          <t>증권유형·거래소·최초거래일</t>
        </is>
      </c>
      <c r="C21" t="inlineStr">
        <is>
          <t>미명시</t>
        </is>
      </c>
      <c r="D21" t="inlineStr">
        <is>
          <t>JSON</t>
        </is>
      </c>
      <c r="E21" t="inlineStr">
        <is>
          <t>정적</t>
        </is>
      </c>
      <c r="F21" t="inlineStr">
        <is>
          <t>❌ 미사용</t>
        </is>
      </c>
      <c r="G21" t="inlineStr">
        <is>
          <t>증권유형 게이트</t>
        </is>
      </c>
    </row>
    <row r="22">
      <c r="A22" t="inlineStr">
        <is>
          <t>`quoteSummary(topHoldings/fundProfile/fundPerformance)`</t>
        </is>
      </c>
      <c r="B22" t="inlineStr">
        <is>
          <t>펀드 전용(ETF 보유내역·수익률)</t>
        </is>
      </c>
      <c r="C22" t="inlineStr">
        <is>
          <t>미명시</t>
        </is>
      </c>
      <c r="D22" t="inlineStr">
        <is>
          <t>JSON</t>
        </is>
      </c>
      <c r="E22" t="inlineStr">
        <is>
          <t>주기적</t>
        </is>
      </c>
      <c r="F22" t="inlineStr">
        <is>
          <t>❌ 미사용</t>
        </is>
      </c>
      <c r="G22" t="inlineStr">
        <is>
          <t>해당없음(개별주 전용 제품)</t>
        </is>
      </c>
    </row>
    <row r="23">
      <c r="A23" t="inlineStr">
        <is>
          <t>`chart()`(`v8/finance/chart`)</t>
        </is>
      </c>
      <c r="B23" t="inlineStr">
        <is>
          <t>OHLCV 시계열·분할/배당 이벤트</t>
        </is>
      </c>
      <c r="C23" t="inlineStr">
        <is>
          <t>adjclose 조정방식 미명시</t>
        </is>
      </c>
      <c r="D23" t="inlineStr">
        <is>
          <t>JSON</t>
        </is>
      </c>
      <c r="E23" t="inlineStr">
        <is>
          <t>분~일 단위</t>
        </is>
      </c>
      <c r="F23" t="inlineStr">
        <is>
          <t>❌ 미사용</t>
        </is>
      </c>
      <c r="G23" t="inlineStr">
        <is>
          <t>가격 히스토리(현재 us_stock_perf가 별도 소스)</t>
        </is>
      </c>
    </row>
    <row r="24">
      <c r="A24" t="inlineStr">
        <is>
          <t>`fundamentalsTimeSeries()`</t>
        </is>
      </c>
      <c r="B24" t="inlineStr">
        <is>
          <t>annual/quarterly/trailing 접두 재무 시계열</t>
        </is>
      </c>
      <c r="C24" t="inlineStr">
        <is>
          <t>quoteSummary 재무모듈과 같은 원자료, 시계열 형태만 다름</t>
        </is>
      </c>
      <c r="D24" t="inlineStr">
        <is>
          <t>JSON</t>
        </is>
      </c>
      <c r="E24" t="inlineStr">
        <is>
          <t>분기/연</t>
        </is>
      </c>
      <c r="F24" t="inlineStr">
        <is>
          <t>✅ **일부 사용**(코드 확인)</t>
        </is>
      </c>
      <c r="G24" t="inlineStr">
        <is>
          <t>재무 시계열</t>
        </is>
      </c>
    </row>
    <row r="25">
      <c r="A25" t="inlineStr">
        <is>
          <t>`options()`</t>
        </is>
      </c>
      <c r="B25" t="inlineStr">
        <is>
          <t>옵션체인(행사가·IV·미결제약정)</t>
        </is>
      </c>
      <c r="C25" t="inlineStr">
        <is>
          <t>미명시</t>
        </is>
      </c>
      <c r="D25" t="inlineStr">
        <is>
          <t>JSON</t>
        </is>
      </c>
      <c r="E25" t="inlineStr">
        <is>
          <t>실시간/지연</t>
        </is>
      </c>
      <c r="F25" t="inlineStr">
        <is>
          <t>❌ 미사용</t>
        </is>
      </c>
      <c r="G25" t="inlineStr">
        <is>
          <t>해당없음(범위 밖)</t>
        </is>
      </c>
    </row>
    <row r="26">
      <c r="A26" t="inlineStr">
        <is>
          <t>`screener()`</t>
        </is>
      </c>
      <c r="B26" t="inlineStr">
        <is>
          <t>15개 고정 스크린(day_gainers 등)만, 스크린당 종목별 marketCap 등 100여 필드</t>
        </is>
      </c>
      <c r="C26" t="inlineStr">
        <is>
          <t>quote와 동일 필드셋, 사전정의 목록만</t>
        </is>
      </c>
      <c r="D26" t="inlineStr">
        <is>
          <t>JSON</t>
        </is>
      </c>
      <c r="E26" t="inlineStr">
        <is>
          <t>실시간 재랭킹</t>
        </is>
      </c>
      <c r="F26" t="inlineStr">
        <is>
          <t>❌ 미사용</t>
        </is>
      </c>
      <c r="G26" t="inlineStr">
        <is>
          <t>⚠️ **전 유니버스 대체 불가**(고정 15개 목록만, 임의 종목 조회 안 됨)</t>
        </is>
      </c>
    </row>
    <row r="27">
      <c r="A27" t="inlineStr">
        <is>
          <t>`trendingSymbols()`</t>
        </is>
      </c>
      <c r="B27" t="inlineStr">
        <is>
          <t>지역별 인기 심볼 목록(값 없음)</t>
        </is>
      </c>
      <c r="C27" t="inlineStr">
        <is>
          <t>—</t>
        </is>
      </c>
      <c r="D27" t="inlineStr">
        <is>
          <t>JSON</t>
        </is>
      </c>
      <c r="E27" t="inlineStr">
        <is>
          <t>실시간</t>
        </is>
      </c>
      <c r="F27" t="inlineStr">
        <is>
          <t>❌ 미사용</t>
        </is>
      </c>
      <c r="G27" t="inlineStr">
        <is>
          <t>해당없음</t>
        </is>
      </c>
    </row>
    <row r="28">
      <c r="A28" t="inlineStr">
        <is>
          <t>`esgScores`</t>
        </is>
      </c>
      <c r="B28" t="inlineStr">
        <is>
          <t>(라이브러리 이슈 #952 — **현재 미제공/제한됨**)</t>
        </is>
      </c>
      <c r="C28" t="inlineStr">
        <is>
          <t>N/A</t>
        </is>
      </c>
      <c r="D28" t="inlineStr">
        <is>
          <t>N/A</t>
        </is>
      </c>
      <c r="E28" t="inlineStr">
        <is>
          <t>N/A</t>
        </is>
      </c>
      <c r="F28" t="inlineStr">
        <is>
          <t>❌ 불가</t>
        </is>
      </c>
      <c r="G28" t="inlineStr">
        <is>
          <t>해당없음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54" customWidth="1" min="1" max="1"/>
    <col width="60" customWidth="1" min="2" max="2"/>
    <col width="60" customWidth="1" min="3" max="3"/>
    <col width="10" customWidth="1" min="4" max="4"/>
    <col width="10" customWidth="1" min="5" max="5"/>
    <col width="18.9" customWidth="1" min="6" max="6"/>
    <col width="39.6" customWidth="1" min="7" max="7"/>
    <col width="29.7" customWidth="1" min="8" max="8"/>
  </cols>
  <sheetData>
    <row r="1">
      <c r="A1" t="inlineStr">
        <is>
          <t>엔드포인트</t>
        </is>
      </c>
      <c r="B1" t="inlineStr">
        <is>
          <t>필드</t>
        </is>
      </c>
      <c r="C1" t="inlineStr">
        <is>
          <t>정의</t>
        </is>
      </c>
      <c r="D1" t="inlineStr">
        <is>
          <t>형식</t>
        </is>
      </c>
      <c r="E1" t="inlineStr">
        <is>
          <t>공식여부</t>
        </is>
      </c>
      <c r="F1" t="inlineStr">
        <is>
          <t>갱신</t>
        </is>
      </c>
      <c r="G1" t="inlineStr">
        <is>
          <t>우리가 쓰는가</t>
        </is>
      </c>
      <c r="H1" t="inlineStr">
        <is>
          <t>어느 자리</t>
        </is>
      </c>
    </row>
    <row r="2">
      <c r="A2" t="inlineStr">
        <is>
          <t>`nasdaqtrader.com/dynamic/symdir/nasdaqlisted.txt`</t>
        </is>
      </c>
      <c r="B2" t="inlineStr">
        <is>
          <t>Symbol·Security Name·Market Category·Test Issue·**Financial Status**·Round Lot·ETB</t>
        </is>
      </c>
      <c r="C2" t="inlineStr">
        <is>
          <t>Financial Status 원문: *"Indicates when an issuer has failed to submit its regulatory filings on a timely basis, has failed to meet Nasdaq's continuing listing standards, and/or has filed for bankruptcy"*(D/E/Q/N 등 코드)</t>
        </is>
      </c>
      <c r="D2" t="inlineStr">
        <is>
          <t>파이프구분 TXT</t>
        </is>
      </c>
      <c r="E2" t="inlineStr">
        <is>
          <t>✅ 공식</t>
        </is>
      </c>
      <c r="F2" t="inlineStr">
        <is>
          <t>매일</t>
        </is>
      </c>
      <c r="G2" t="inlineStr">
        <is>
          <t>✅ **유니버스 정본**(scripts/refresh_us_symbols.ts)</t>
        </is>
      </c>
      <c r="H2" t="inlineStr">
        <is>
          <t>유니버스·🔑 **상장폐지 위험 플래그 후보**(현재 미사용)</t>
        </is>
      </c>
    </row>
    <row r="3">
      <c r="A3" t="inlineStr">
        <is>
          <t>`nasdaqtrader.com/dynamic/symdir/otherlisted.txt`</t>
        </is>
      </c>
      <c r="B3" t="inlineStr">
        <is>
          <t>ACT Symbol·Exchange·CQS Symbol·**ETF**·Round Lot·Test Issue</t>
        </is>
      </c>
      <c r="C3" t="inlineStr">
        <is>
          <t>ETF = 자체신고 분류(발행사 제출 기준, 보유구조 기반 아님)</t>
        </is>
      </c>
      <c r="D3" t="inlineStr">
        <is>
          <t>파이프구분 TXT</t>
        </is>
      </c>
      <c r="E3" t="inlineStr">
        <is>
          <t>✅ 공식</t>
        </is>
      </c>
      <c r="F3" t="inlineStr">
        <is>
          <t>매일</t>
        </is>
      </c>
      <c r="G3" t="inlineStr">
        <is>
          <t>✅ 유니버스 정본</t>
        </is>
      </c>
      <c r="H3" t="inlineStr">
        <is>
          <t>유니버스·ETF 필터</t>
        </is>
      </c>
    </row>
    <row r="4">
      <c r="A4" t="inlineStr">
        <is>
          <t>공매도잔고(SFTP)</t>
        </is>
      </c>
      <c r="B4" t="inlineStr">
        <is>
          <t>종목별 공매도 주식수·결제일·평균거래량·상환일수</t>
        </is>
      </c>
      <c r="C4" t="inlineStr">
        <is>
          <t>반월 결제일 기준, 공식 정의페이지 존재</t>
        </is>
      </c>
      <c r="D4" t="inlineStr">
        <is>
          <t>CSV(SFTP)</t>
        </is>
      </c>
      <c r="E4" t="inlineStr">
        <is>
          <t>✅ 공식(정의만)</t>
        </is>
      </c>
      <c r="F4" t="inlineStr">
        <is>
          <t>반월</t>
        </is>
      </c>
      <c r="G4" t="inlineStr">
        <is>
          <t>❌ **유료라 미사용**</t>
        </is>
      </c>
      <c r="H4" t="inlineStr">
        <is>
          <t>공매도 신호 후보(비용 이슈)</t>
        </is>
      </c>
    </row>
    <row r="5">
      <c r="A5" t="inlineStr">
        <is>
          <t>`api.nasdaq.com/api/screener/stocks`</t>
        </is>
      </c>
      <c r="B5" t="inlineStr">
        <is>
          <t>symbol·name·sector·industry·country·ipoyear·**marketCap**</t>
        </is>
      </c>
      <c r="C5" t="inlineStr">
        <is>
          <t>marketCap = 나스닥 서버사이드 사전계산(정의 미명시)</t>
        </is>
      </c>
      <c r="D5" t="inlineStr">
        <is>
          <t>JSON</t>
        </is>
      </c>
      <c r="E5" t="inlineStr">
        <is>
          <t>❌ 비공식</t>
        </is>
      </c>
      <c r="F5" t="inlineStr">
        <is>
          <t>취득시각 기준(응답에 as_of 없음)</t>
        </is>
      </c>
      <c r="G5" t="inlineStr">
        <is>
          <t>✅ **섹터 3순위 재료**(us_sector_nasdaq)</t>
        </is>
      </c>
      <c r="H5" t="inlineStr">
        <is>
          <t>섹터·🔑 **시총 대체경로 후보**(§3-3)</t>
        </is>
      </c>
    </row>
    <row r="6">
      <c r="A6" t="inlineStr">
        <is>
          <t>`api.nasdaq.com/api/quote/{symbol}/info`</t>
        </is>
      </c>
      <c r="B6" t="inlineStr">
        <is>
          <t>현재가·매수/매도호가·거래량·52주 고저</t>
        </is>
      </c>
      <c r="C6" t="inlineStr">
        <is>
          <t>미명시</t>
        </is>
      </c>
      <c r="D6" t="inlineStr">
        <is>
          <t>JSON</t>
        </is>
      </c>
      <c r="E6" t="inlineStr">
        <is>
          <t>❌ 비공식</t>
        </is>
      </c>
      <c r="F6" t="inlineStr">
        <is>
          <t>실시간 성격</t>
        </is>
      </c>
      <c r="G6" t="inlineStr">
        <is>
          <t>❌ 미사용</t>
        </is>
      </c>
      <c r="H6" t="inlineStr">
        <is>
          <t>가격 대체경로</t>
        </is>
      </c>
    </row>
    <row r="7">
      <c r="A7" t="inlineStr">
        <is>
          <t>`api.nasdaq.com/api/quote/{symbol}/summary`</t>
        </is>
      </c>
      <c r="B7" t="inlineStr">
        <is>
          <t>marketCap(서버계산)·섹터·업종·배당수익률·거래량</t>
        </is>
      </c>
      <c r="C7" t="inlineStr">
        <is>
          <t>미명시</t>
        </is>
      </c>
      <c r="D7" t="inlineStr">
        <is>
          <t>JSON</t>
        </is>
      </c>
      <c r="E7" t="inlineStr">
        <is>
          <t>❌ 비공식</t>
        </is>
      </c>
      <c r="F7" t="inlineStr">
        <is>
          <t>실시간 성격</t>
        </is>
      </c>
      <c r="G7" t="inlineStr">
        <is>
          <t>❌ 미사용</t>
        </is>
      </c>
      <c r="H7" t="inlineStr">
        <is>
          <t>시총·섹터 대체경로(screener와 중복)</t>
        </is>
      </c>
    </row>
    <row r="8">
      <c r="A8" t="inlineStr">
        <is>
          <t>`api.nasdaq.com/api/quote/{symbol}/historical`</t>
        </is>
      </c>
      <c r="B8" t="inlineStr">
        <is>
          <t>일별 OHLCV</t>
        </is>
      </c>
      <c r="C8" t="inlineStr">
        <is>
          <t>미명시(1개월 미만 구간 조회 시 빈 응답 버그 보고됨)</t>
        </is>
      </c>
      <c r="D8" t="inlineStr">
        <is>
          <t>JSON</t>
        </is>
      </c>
      <c r="E8" t="inlineStr">
        <is>
          <t>❌ 비공식</t>
        </is>
      </c>
      <c r="F8" t="inlineStr">
        <is>
          <t>일별</t>
        </is>
      </c>
      <c r="G8" t="inlineStr">
        <is>
          <t>❌ 미사용</t>
        </is>
      </c>
      <c r="H8" t="inlineStr">
        <is>
          <t>가격 히스토리</t>
        </is>
      </c>
    </row>
    <row r="9">
      <c r="A9" t="inlineStr">
        <is>
          <t>`api.nasdaq.com/api/quote/{symbol}/dividends`</t>
        </is>
      </c>
      <c r="B9" t="inlineStr">
        <is>
          <t>배당락일·배당액·수익률·이력</t>
        </is>
      </c>
      <c r="C9" t="inlineStr">
        <is>
          <t>미명시</t>
        </is>
      </c>
      <c r="D9" t="inlineStr">
        <is>
          <t>JSON</t>
        </is>
      </c>
      <c r="E9" t="inlineStr">
        <is>
          <t>❌ 비공식</t>
        </is>
      </c>
      <c r="F9" t="inlineStr">
        <is>
          <t>이벤트성</t>
        </is>
      </c>
      <c r="G9" t="inlineStr">
        <is>
          <t>❌ 미사용(캘린더는 별도 엔드포인트 사용중)</t>
        </is>
      </c>
      <c r="H9" t="inlineStr">
        <is>
          <t>배당 상세(현재 캘린더만 사용)</t>
        </is>
      </c>
    </row>
    <row r="10">
      <c r="A10" t="inlineStr">
        <is>
          <t>`api.nasdaq.com/api/quote/{symbol}/eps`</t>
        </is>
      </c>
      <c r="B10" t="inlineStr">
        <is>
          <t>EPS 이력</t>
        </is>
      </c>
      <c r="C10" t="inlineStr">
        <is>
          <t>미명시</t>
        </is>
      </c>
      <c r="D10" t="inlineStr">
        <is>
          <t>JSON</t>
        </is>
      </c>
      <c r="E10" t="inlineStr">
        <is>
          <t>❌ 비공식</t>
        </is>
      </c>
      <c r="F10" t="inlineStr">
        <is>
          <t>분기</t>
        </is>
      </c>
      <c r="G10" t="inlineStr">
        <is>
          <t>❌ 미사용</t>
        </is>
      </c>
      <c r="H10" t="inlineStr">
        <is>
          <t>실적 히스토리</t>
        </is>
      </c>
    </row>
    <row r="11">
      <c r="A11" t="inlineStr">
        <is>
          <t>`api.nasdaq.com/api/quote/{symbol}/option-chain`</t>
        </is>
      </c>
      <c r="B11" t="inlineStr">
        <is>
          <t>옵션체인</t>
        </is>
      </c>
      <c r="C11" t="inlineStr">
        <is>
          <t>미명시</t>
        </is>
      </c>
      <c r="D11" t="inlineStr">
        <is>
          <t>JSON</t>
        </is>
      </c>
      <c r="E11" t="inlineStr">
        <is>
          <t>❌ 비공식</t>
        </is>
      </c>
      <c r="F11" t="inlineStr">
        <is>
          <t>실시간 성격</t>
        </is>
      </c>
      <c r="G11" t="inlineStr">
        <is>
          <t>❌ 미사용</t>
        </is>
      </c>
      <c r="H11" t="inlineStr">
        <is>
          <t>범위 밖</t>
        </is>
      </c>
    </row>
    <row r="12">
      <c r="A12" t="inlineStr">
        <is>
          <t>`api.nasdaq.com/api/quote/{symbol}/short-interest`</t>
        </is>
      </c>
      <c r="B12" t="inlineStr">
        <is>
          <t>공매도 잔고(반월 포인트)</t>
        </is>
      </c>
      <c r="C12" t="inlineStr">
        <is>
          <t>🔑 **유료 SFTP의 무료 비공식 미러로 추정**(정의 신뢰도 미검증)</t>
        </is>
      </c>
      <c r="D12" t="inlineStr">
        <is>
          <t>JSON</t>
        </is>
      </c>
      <c r="E12" t="inlineStr">
        <is>
          <t>❌ 비공식</t>
        </is>
      </c>
      <c r="F12" t="inlineStr">
        <is>
          <t>반월(추정)</t>
        </is>
      </c>
      <c r="G12" t="inlineStr">
        <is>
          <t>❌ 미사용</t>
        </is>
      </c>
      <c r="H12" t="inlineStr">
        <is>
          <t>공매도 신호(무료 대체 후보)</t>
        </is>
      </c>
    </row>
    <row r="13">
      <c r="A13" t="inlineStr">
        <is>
          <t>`api.nasdaq.com/api/company/{symbol}/company-profile`</t>
        </is>
      </c>
      <c r="B13" t="inlineStr">
        <is>
          <t>사업설명·주소·임원</t>
        </is>
      </c>
      <c r="C13" t="inlineStr">
        <is>
          <t>미명시</t>
        </is>
      </c>
      <c r="D13" t="inlineStr">
        <is>
          <t>JSON</t>
        </is>
      </c>
      <c r="E13" t="inlineStr">
        <is>
          <t>❌ 비공식</t>
        </is>
      </c>
      <c r="F13" t="inlineStr">
        <is>
          <t>비정기</t>
        </is>
      </c>
      <c r="G13" t="inlineStr">
        <is>
          <t>❌ 미사용</t>
        </is>
      </c>
      <c r="H13" t="inlineStr">
        <is>
          <t>회사개요</t>
        </is>
      </c>
    </row>
    <row r="14">
      <c r="A14" t="inlineStr">
        <is>
          <t>`api.nasdaq.com/api/company/{symbol}/financials`</t>
        </is>
      </c>
      <c r="B14" t="inlineStr">
        <is>
          <t>손익·재무상태·현금흐름(분기/연)</t>
        </is>
      </c>
      <c r="C14" t="inlineStr">
        <is>
          <t>🔴 필드-GAAP 매핑 완전 미확인(가장 신뢰도 낮음)</t>
        </is>
      </c>
      <c r="D14" t="inlineStr">
        <is>
          <t>JSON</t>
        </is>
      </c>
      <c r="E14" t="inlineStr">
        <is>
          <t>❌ 비공식</t>
        </is>
      </c>
      <c r="F14" t="inlineStr">
        <is>
          <t>분기/연</t>
        </is>
      </c>
      <c r="G14" t="inlineStr">
        <is>
          <t>❌ 미사용</t>
        </is>
      </c>
      <c r="H14" t="inlineStr">
        <is>
          <t>재무 대체경로(비권장, SEC 대비 신뢰도 낮음)</t>
        </is>
      </c>
    </row>
    <row r="15">
      <c r="A15" t="inlineStr">
        <is>
          <t>`api.nasdaq.com/api/company/{symbol}/revenue`</t>
        </is>
      </c>
      <c r="B15" t="inlineStr">
        <is>
          <t>매출 세부</t>
        </is>
      </c>
      <c r="C15" t="inlineStr">
        <is>
          <t>미명시</t>
        </is>
      </c>
      <c r="D15" t="inlineStr">
        <is>
          <t>JSON</t>
        </is>
      </c>
      <c r="E15" t="inlineStr">
        <is>
          <t>❌ 비공식</t>
        </is>
      </c>
      <c r="F15" t="inlineStr">
        <is>
          <t>분기/연</t>
        </is>
      </c>
      <c r="G15" t="inlineStr">
        <is>
          <t>❌ 미사용</t>
        </is>
      </c>
      <c r="H15" t="inlineStr">
        <is>
          <t>상동</t>
        </is>
      </c>
    </row>
    <row r="16">
      <c r="A16" t="inlineStr">
        <is>
          <t>`api.nasdaq.com/api/company/{symbol}/earnings-surprise`</t>
        </is>
      </c>
      <c r="B16" t="inlineStr">
        <is>
          <t>과거 EPS 서프라이즈</t>
        </is>
      </c>
      <c r="C16" t="inlineStr">
        <is>
          <t>미명시</t>
        </is>
      </c>
      <c r="D16" t="inlineStr">
        <is>
          <t>JSON</t>
        </is>
      </c>
      <c r="E16" t="inlineStr">
        <is>
          <t>❌ 비공식</t>
        </is>
      </c>
      <c r="F16" t="inlineStr">
        <is>
          <t>분기</t>
        </is>
      </c>
      <c r="G16" t="inlineStr">
        <is>
          <t>❌ 미사용</t>
        </is>
      </c>
      <c r="H16" t="inlineStr">
        <is>
          <t>SUE류(기각된 방향)</t>
        </is>
      </c>
    </row>
    <row r="17">
      <c r="A17" t="inlineStr">
        <is>
          <t>`api.nasdaq.com/api/company/{symbol}/insider-trades`</t>
        </is>
      </c>
      <c r="B17" t="inlineStr">
        <is>
          <t>내부자 거래내역</t>
        </is>
      </c>
      <c r="C17" t="inlineStr">
        <is>
          <t>Form4 추정(미확인)</t>
        </is>
      </c>
      <c r="D17" t="inlineStr">
        <is>
          <t>JSON</t>
        </is>
      </c>
      <c r="E17" t="inlineStr">
        <is>
          <t>❌ 비공식</t>
        </is>
      </c>
      <c r="F17" t="inlineStr">
        <is>
          <t>이벤트성</t>
        </is>
      </c>
      <c r="G17" t="inlineStr">
        <is>
          <t>❌ 미사용</t>
        </is>
      </c>
      <c r="H17" t="inlineStr">
        <is>
          <t>소유구조 신호</t>
        </is>
      </c>
    </row>
    <row r="18">
      <c r="A18" t="inlineStr">
        <is>
          <t>`api.nasdaq.com/api/company/{symbol}/institutional-holdings`</t>
        </is>
      </c>
      <c r="B18" t="inlineStr">
        <is>
          <t>기관보유 요약·개별 기관명·보유주식·평가액</t>
        </is>
      </c>
      <c r="C18" t="inlineStr">
        <is>
          <t>🔴 **회사 전체 발행주식수 필드 없음**(보유자별 절대주식수만)</t>
        </is>
      </c>
      <c r="D18" t="inlineStr">
        <is>
          <t>JSON</t>
        </is>
      </c>
      <c r="E18" t="inlineStr">
        <is>
          <t>❌ 비공식</t>
        </is>
      </c>
      <c r="F18" t="inlineStr">
        <is>
          <t>분기(13F 추정)</t>
        </is>
      </c>
      <c r="G18" t="inlineStr">
        <is>
          <t>❌ 미사용</t>
        </is>
      </c>
      <c r="H18" t="inlineStr">
        <is>
          <t>소유구조(발행주식수 소스 아님, §3-3 관련 부정 결과)</t>
        </is>
      </c>
    </row>
    <row r="19">
      <c r="A19" t="inlineStr">
        <is>
          <t>`api.nasdaq.com/api/company/{symbol}/sec-filings`</t>
        </is>
      </c>
      <c r="B19" t="inlineStr">
        <is>
          <t>제출목록(양식·날짜·링크)</t>
        </is>
      </c>
      <c r="C19" t="inlineStr">
        <is>
          <t>SEC 색인 미러</t>
        </is>
      </c>
      <c r="D19" t="inlineStr">
        <is>
          <t>JSON</t>
        </is>
      </c>
      <c r="E19" t="inlineStr">
        <is>
          <t>❌ 비공식</t>
        </is>
      </c>
      <c r="F19" t="inlineStr">
        <is>
          <t>이벤트성</t>
        </is>
      </c>
      <c r="G19" t="inlineStr">
        <is>
          <t>❌ 미사용(SEC 원본 우선)</t>
        </is>
      </c>
      <c r="H19" t="inlineStr">
        <is>
          <t>해당없음</t>
        </is>
      </c>
    </row>
    <row r="20">
      <c r="A20" t="inlineStr">
        <is>
          <t>`api.nasdaq.com/api/analyst/{symbol}/earnings-date`</t>
        </is>
      </c>
      <c r="B20" t="inlineStr">
        <is>
          <t>다음 실적발표일</t>
        </is>
      </c>
      <c r="C20" t="inlineStr">
        <is>
          <t>미명시</t>
        </is>
      </c>
      <c r="D20" t="inlineStr">
        <is>
          <t>JSON</t>
        </is>
      </c>
      <c r="E20" t="inlineStr">
        <is>
          <t>❌ 비공식</t>
        </is>
      </c>
      <c r="F20" t="inlineStr">
        <is>
          <t>실적 전 갱신</t>
        </is>
      </c>
      <c r="G20" t="inlineStr">
        <is>
          <t>❌ 미사용</t>
        </is>
      </c>
      <c r="H20" t="inlineStr">
        <is>
          <t>이벤트 캘린더</t>
        </is>
      </c>
    </row>
    <row r="21">
      <c r="A21" t="inlineStr">
        <is>
          <t>`api.nasdaq.com/api/analyst/{symbol}/earnings-forcast`</t>
        </is>
      </c>
      <c r="B21" t="inlineStr">
        <is>
          <t>애널리스트 EPS·매출 추정</t>
        </is>
      </c>
      <c r="C21" t="inlineStr">
        <is>
          <t>출처·방법론 미명시</t>
        </is>
      </c>
      <c r="D21" t="inlineStr">
        <is>
          <t>JSON</t>
        </is>
      </c>
      <c r="E21" t="inlineStr">
        <is>
          <t>❌ 비공식</t>
        </is>
      </c>
      <c r="F21" t="inlineStr">
        <is>
          <t>주기적</t>
        </is>
      </c>
      <c r="G21" t="inlineStr">
        <is>
          <t>❌ 미사용</t>
        </is>
      </c>
      <c r="H21" t="inlineStr">
        <is>
          <t>컨센서스 후보(원전대조 불가라 채택 어려움)</t>
        </is>
      </c>
    </row>
    <row r="22">
      <c r="A22" t="inlineStr">
        <is>
          <t>`api.nasdaq.com/api/analyst/{symbol}/ratings`</t>
        </is>
      </c>
      <c r="B22" t="inlineStr">
        <is>
          <t>매수/보유/매도 집계</t>
        </is>
      </c>
      <c r="C22" t="inlineStr">
        <is>
          <t>미명시</t>
        </is>
      </c>
      <c r="D22" t="inlineStr">
        <is>
          <t>JSON</t>
        </is>
      </c>
      <c r="E22" t="inlineStr">
        <is>
          <t>❌ 비공식</t>
        </is>
      </c>
      <c r="F22" t="inlineStr">
        <is>
          <t>주기적</t>
        </is>
      </c>
      <c r="G22" t="inlineStr">
        <is>
          <t>❌ 미사용</t>
        </is>
      </c>
      <c r="H22" t="inlineStr">
        <is>
          <t>해당없음(추천 안 함 원칙)</t>
        </is>
      </c>
    </row>
    <row r="23">
      <c r="A23" t="inlineStr">
        <is>
          <t>`api.nasdaq.com/api/analyst/{symbol}/targetprice`</t>
        </is>
      </c>
      <c r="B23" t="inlineStr">
        <is>
          <t>목표주가(평균/고/저)</t>
        </is>
      </c>
      <c r="C23" t="inlineStr">
        <is>
          <t>미명시</t>
        </is>
      </c>
      <c r="D23" t="inlineStr">
        <is>
          <t>JSON</t>
        </is>
      </c>
      <c r="E23" t="inlineStr">
        <is>
          <t>❌ 비공식</t>
        </is>
      </c>
      <c r="F23" t="inlineStr">
        <is>
          <t>주기적</t>
        </is>
      </c>
      <c r="G23" t="inlineStr">
        <is>
          <t>❌ 미사용</t>
        </is>
      </c>
      <c r="H23" t="inlineStr">
        <is>
          <t>해당없음</t>
        </is>
      </c>
    </row>
    <row r="24">
      <c r="A24" t="inlineStr">
        <is>
          <t>`api.nasdaq.com/api/calendar/earnings`</t>
        </is>
      </c>
      <c r="B24" t="inlineStr">
        <is>
          <t>그날 실적발표 예정 종목</t>
        </is>
      </c>
      <c r="C24" t="inlineStr">
        <is>
          <t>미명시</t>
        </is>
      </c>
      <c r="D24" t="inlineStr">
        <is>
          <t>JSON</t>
        </is>
      </c>
      <c r="E24" t="inlineStr">
        <is>
          <t>❌ 비공식</t>
        </is>
      </c>
      <c r="F24" t="inlineStr">
        <is>
          <t>매일</t>
        </is>
      </c>
      <c r="G24" t="inlineStr">
        <is>
          <t>❌ 미사용</t>
        </is>
      </c>
      <c r="H24" t="inlineStr">
        <is>
          <t>실적 캘린더</t>
        </is>
      </c>
    </row>
    <row r="25">
      <c r="A25" t="inlineStr">
        <is>
          <t>`api.nasdaq.com/api/calendar/splits`</t>
        </is>
      </c>
      <c r="B25" t="inlineStr">
        <is>
          <t>그날 액면분할 예정</t>
        </is>
      </c>
      <c r="C25" t="inlineStr">
        <is>
          <t>미명시</t>
        </is>
      </c>
      <c r="D25" t="inlineStr">
        <is>
          <t>JSON</t>
        </is>
      </c>
      <c r="E25" t="inlineStr">
        <is>
          <t>❌ 비공식</t>
        </is>
      </c>
      <c r="F25" t="inlineStr">
        <is>
          <t>매일</t>
        </is>
      </c>
      <c r="G25" t="inlineStr">
        <is>
          <t>❌ 미사용</t>
        </is>
      </c>
      <c r="H25" t="inlineStr">
        <is>
          <t>주식수 연속성 보정 후보</t>
        </is>
      </c>
    </row>
    <row r="26">
      <c r="A26" t="inlineStr">
        <is>
          <t>`api.nasdaq.com/api/ipo/calendar`</t>
        </is>
      </c>
      <c r="B26" t="inlineStr">
        <is>
          <t>IPO 예정·최근 상장</t>
        </is>
      </c>
      <c r="C26" t="inlineStr">
        <is>
          <t>미명시</t>
        </is>
      </c>
      <c r="D26" t="inlineStr">
        <is>
          <t>JSON</t>
        </is>
      </c>
      <c r="E26" t="inlineStr">
        <is>
          <t>❌ 비공식</t>
        </is>
      </c>
      <c r="F26" t="inlineStr">
        <is>
          <t>매일</t>
        </is>
      </c>
      <c r="G26" t="inlineStr">
        <is>
          <t>✅ **이미 사용**(app/api/ipo/us-feed)</t>
        </is>
      </c>
      <c r="H26" t="inlineStr">
        <is>
          <t>IPO 피드</t>
        </is>
      </c>
    </row>
    <row r="27">
      <c r="A27" t="inlineStr">
        <is>
          <t>`api.nasdaq.com/api/calendar/dividends`</t>
        </is>
      </c>
      <c r="B27" t="inlineStr">
        <is>
          <t>그날 배당락 종목</t>
        </is>
      </c>
      <c r="C27" t="inlineStr">
        <is>
          <t>미명시</t>
        </is>
      </c>
      <c r="D27" t="inlineStr">
        <is>
          <t>JSON</t>
        </is>
      </c>
      <c r="E27" t="inlineStr">
        <is>
          <t>❌ 비공식</t>
        </is>
      </c>
      <c r="F27" t="inlineStr">
        <is>
          <t>매일</t>
        </is>
      </c>
      <c r="G27" t="inlineStr">
        <is>
          <t>✅ **이미 사용**(app/api/dividends/us-feed)</t>
        </is>
      </c>
      <c r="H27" t="inlineStr">
        <is>
          <t>배당 피드</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0.8" customWidth="1" min="1" max="1"/>
    <col width="28.8" customWidth="1" min="2" max="2"/>
    <col width="20.7" customWidth="1" min="3" max="3"/>
    <col width="27.9" customWidth="1" min="4" max="4"/>
  </cols>
  <sheetData>
    <row r="1">
      <c r="A1" t="inlineStr">
        <is>
          <t>파일</t>
        </is>
      </c>
      <c r="B1" t="inlineStr">
        <is>
          <t>내용</t>
        </is>
      </c>
      <c r="C1" t="inlineStr">
        <is>
          <t>정의</t>
        </is>
      </c>
      <c r="D1" t="inlineStr">
        <is>
          <t>어느 자리(미사용 후보)</t>
        </is>
      </c>
    </row>
    <row r="2">
      <c r="A2" t="inlineStr">
        <is>
          <t>`margin.xls`</t>
        </is>
      </c>
      <c r="B2" t="inlineStr">
        <is>
          <t>업종별 매출총이익률·영업이익률·순이익률</t>
        </is>
      </c>
      <c r="C2" t="inlineStr">
        <is>
          <t>94업종 집계, 시점 = 연1회 갱신 시점</t>
        </is>
      </c>
      <c r="D2" t="inlineStr">
        <is>
          <t>마진 벤치마크(fade 목표치 후보)</t>
        </is>
      </c>
    </row>
    <row r="3">
      <c r="A3" t="inlineStr">
        <is>
          <t>`roe.xls`</t>
        </is>
      </c>
      <c r="B3" t="inlineStr">
        <is>
          <t>업종별 ROE 분해(마진×회전율×레버리지)·ROC/ROIC</t>
        </is>
      </c>
      <c r="C3" t="inlineStr">
        <is>
          <t>듀폰 분해</t>
        </is>
      </c>
      <c r="D3" t="inlineStr">
        <is>
          <t>ROIC 벤치마크(성장률=ROIC×재투자율 공식과 연결)</t>
        </is>
      </c>
    </row>
    <row r="4">
      <c r="A4" t="inlineStr">
        <is>
          <t>`EVA.xls`</t>
        </is>
      </c>
      <c r="B4" t="inlineStr">
        <is>
          <t>업종별 EVA($)·자기자본EVA($)</t>
        </is>
      </c>
      <c r="C4" t="inlineStr">
        <is>
          <t>NOPAT − 자본비용×투하자본</t>
        </is>
      </c>
      <c r="D4" t="inlineStr">
        <is>
          <t>미사용(가치창출 진단용, DCF 입력 아님)</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6.2" customWidth="1" min="1" max="1"/>
    <col width="22.5" customWidth="1" min="2" max="2"/>
    <col width="11.7" customWidth="1" min="3" max="3"/>
    <col width="45" customWidth="1" min="4" max="4"/>
  </cols>
  <sheetData>
    <row r="1">
      <c r="A1" t="inlineStr">
        <is>
          <t>파일</t>
        </is>
      </c>
      <c r="B1" t="inlineStr">
        <is>
          <t>내용</t>
        </is>
      </c>
      <c r="C1" t="inlineStr">
        <is>
          <t>정의</t>
        </is>
      </c>
      <c r="D1" t="inlineStr">
        <is>
          <t>어느 자리</t>
        </is>
      </c>
    </row>
    <row r="2">
      <c r="A2" t="inlineStr">
        <is>
          <t>`pedata.xls`</t>
        </is>
      </c>
      <c r="B2" t="inlineStr">
        <is>
          <t>업종별 트레일링/포워드 PE·PEG·기대성장률</t>
        </is>
      </c>
      <c r="C2" t="inlineStr">
        <is>
          <t>시점 스냅샷(1월 갱신)</t>
        </is>
      </c>
      <c r="D2" t="inlineStr">
        <is>
          <t>업종 배수 벤치마크(Q1 교차검증)</t>
        </is>
      </c>
    </row>
    <row r="3">
      <c r="A3" t="inlineStr">
        <is>
          <t>`pbvdata.xls`</t>
        </is>
      </c>
      <c r="B3" t="inlineStr">
        <is>
          <t>업종별 P/BV·EV/BV·ROE</t>
        </is>
      </c>
      <c r="C3" t="inlineStr">
        <is>
          <t>시점 스냅샷</t>
        </is>
      </c>
      <c r="D3" t="inlineStr">
        <is>
          <t>업종 배수(PBR 교차검증)</t>
        </is>
      </c>
    </row>
    <row r="4">
      <c r="A4" t="inlineStr">
        <is>
          <t>`psdata.xls`</t>
        </is>
      </c>
      <c r="B4" t="inlineStr">
        <is>
          <t>업종별 P/S·EV/S·마진</t>
        </is>
      </c>
      <c r="C4" t="inlineStr">
        <is>
          <t>시점 스냅샷</t>
        </is>
      </c>
      <c r="D4" t="inlineStr">
        <is>
          <t>업종 배수(PSR 교차검증)</t>
        </is>
      </c>
    </row>
    <row r="5">
      <c r="A5" t="inlineStr">
        <is>
          <t>`vebitda.xls`</t>
        </is>
      </c>
      <c r="B5" t="inlineStr">
        <is>
          <t>업종별 EV/EBIT·EV/EBITDA</t>
        </is>
      </c>
      <c r="C5" t="inlineStr">
        <is>
          <t>시점 스냅샷</t>
        </is>
      </c>
      <c r="D5" t="inlineStr">
        <is>
          <t>🔑 업종 배수(EV/EBITDA 교차검증 — 역DCF 산출 NOPAT/EBITDA와 직결)</t>
        </is>
      </c>
    </row>
    <row r="6">
      <c r="A6" t="inlineStr">
        <is>
          <t>`mktcapmult.xlsx`</t>
        </is>
      </c>
      <c r="B6" t="inlineStr">
        <is>
          <t>시총 구간별(업종 아닌 규모별) 배수</t>
        </is>
      </c>
      <c r="C6" t="inlineStr">
        <is>
          <t>규모 10분위</t>
        </is>
      </c>
      <c r="D6" t="inlineStr">
        <is>
          <t>미사용(대안 분류축)</t>
        </is>
      </c>
    </row>
    <row r="7">
      <c r="A7" t="inlineStr">
        <is>
          <t>`countrystats.xls`</t>
        </is>
      </c>
      <c r="B7" t="inlineStr">
        <is>
          <t>국가별 배수 평균</t>
        </is>
      </c>
      <c r="C7" t="inlineStr">
        <is>
          <t>국가 단위</t>
        </is>
      </c>
      <c r="D7" t="inlineStr">
        <is>
          <t>미사용(US 단독 정책과 무관)</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57.6" customWidth="1" min="1" max="1"/>
    <col width="60" customWidth="1" min="2" max="2"/>
    <col width="60" customWidth="1" min="3" max="3"/>
    <col width="59.4" customWidth="1" min="4" max="4"/>
  </cols>
  <sheetData>
    <row r="1">
      <c r="A1" t="inlineStr">
        <is>
          <t>파일</t>
        </is>
      </c>
      <c r="B1" t="inlineStr">
        <is>
          <t>내용</t>
        </is>
      </c>
      <c r="C1" t="inlineStr">
        <is>
          <t>정의</t>
        </is>
      </c>
      <c r="D1" t="inlineStr">
        <is>
          <t>어느 자리</t>
        </is>
      </c>
    </row>
    <row r="2">
      <c r="A2" t="inlineStr">
        <is>
          <t>`histretSP.xls`</t>
        </is>
      </c>
      <c r="B2" t="inlineStr">
        <is>
          <t>주식/국채/T-bill/부동산 연간수익률(1928~)</t>
        </is>
      </c>
      <c r="C2" t="inlineStr">
        <is>
          <t>실현 수익률 시계열</t>
        </is>
      </c>
      <c r="D2" t="inlineStr">
        <is>
          <t>무위험수익률·ERP의 역사적 기초자료(현재 wacc.xls 상단값의 원천 추정)</t>
        </is>
      </c>
    </row>
    <row r="3">
      <c r="A3" t="inlineStr">
        <is>
          <t>`histimpl.xls`</t>
        </is>
      </c>
      <c r="B3" t="inlineStr">
        <is>
          <t>🔴 **정정(1002, 1001 발견 반영) — 연간뿐, "월별 갱신 포함"은 오류였다.** 내재 ERP 시계열(1960~, 연 1행 추가·연 1회 갱신). S&amp;P500 DDM/DCF 역산 내재 ERP — **역사적(realized) ERP가 아니라 시장 내재치**</t>
        </is>
      </c>
      <c r="C3" t="inlineStr">
        <is>
          <t>~~ERP 대안(자주 갱신)~~ — **아래 `ERPbymonth.xlsx`가 진짜 월간 파일**(1001 발견, 998이 놓쳤던 별도 파일)</t>
        </is>
      </c>
    </row>
    <row r="4">
      <c r="A4" t="inlineStr">
        <is>
          <t>🔑 **`ERPbymonth.xlsx`**(1001 발견, `/pc/implprem/ERPbymonth.xlsx`)</t>
        </is>
      </c>
      <c r="B4" t="inlineStr">
        <is>
          <t>rf·ERP **월간** 페어 시계열(2008-09~, 매월 1행) — `T.Bond Rate`(raw)와 `$ Riskfree Rate`(Damodaran 자체조정 계열) 두 rf가 같은 행에, ERP 5변형도 같은 행에. 🔴 **정정(1003) — 산식은 공개돼 있다.** `$ Riskfree Rate = T.Bond rate − 해당등급 디폴트스프레드`(Moody's 2025-05-16 미국 Aaa→Aa1 강등에 대한 Damodaran의 대응, "Sovereign Ratings, Default Risk and Markets" 2025-06 블로그 원문 확인)</t>
        </is>
      </c>
      <c r="C4" t="inlineStr">
        <is>
          <t>우리 저장값(rf=0.0395·erp=0.0446, as_of 2026-01)이 이 파일 2026-01행의 `$ Riskfree Rate`·`ERP(T12m)with adj riskfree rate`와 정확 일치 — **Damodaran이 실제로 쓰는 값의 원천이 이것**. 단 Damodaran 자신의 요약시트는 raw T.Bond Rate+plain ERP(T12m) 조합을 더 눈에 띄게 제시(1003 발견, 다른 조합)</t>
        </is>
      </c>
      <c r="D4" t="inlineStr">
        <is>
          <t>🔑 **#14/#15 즉시이득 최우선 후보 — 1003에서 구현 완료(미배선)**(아래 즉시이득표 1번 참조)</t>
        </is>
      </c>
    </row>
    <row r="5">
      <c r="A5" t="inlineStr">
        <is>
          <t>`ctryprem.xlsx`(+연중 복수판)</t>
        </is>
      </c>
      <c r="B5" t="inlineStr">
        <is>
          <t>국가별 디폴트스프레드·ERP·컨트리리스크프리미엄(150여개국)</t>
        </is>
      </c>
      <c r="C5" t="inlineStr">
        <is>
          <t>국가신용등급 기반</t>
        </is>
      </c>
      <c r="D5" t="inlineStr">
        <is>
          <t>🅿️ 파킹(비US 확장용, 지금 안 씀)</t>
        </is>
      </c>
    </row>
    <row r="6">
      <c r="A6" t="inlineStr">
        <is>
          <t>`ratings.xls`</t>
        </is>
      </c>
      <c r="B6" t="inlineStr">
        <is>
          <t>신용등급대별 이자보상배율 구간·스프레드(대형/소형 별도표)</t>
        </is>
      </c>
      <c r="C6" t="inlineStr">
        <is>
          <t>🔑 다모다란 자신의 WACC 모델이 쓰는 "합성등급" 룩업테이블</t>
        </is>
      </c>
      <c r="D6" t="inlineStr">
        <is>
          <t>🔑 **종목별 부채비용 산출 후보** — 현재 업종평균 WACC 대신 기업별 이자보상배율로 개별 신용스프레드 추정 가능</t>
        </is>
      </c>
    </row>
    <row r="7">
      <c r="A7" t="inlineStr">
        <is>
          <t>`mktcaprisk.xlsx`</t>
        </is>
      </c>
      <c r="B7" t="inlineStr">
        <is>
          <t>시총 구간별 베타·변동성</t>
        </is>
      </c>
      <c r="C7" t="inlineStr">
        <is>
          <t>규모 10분위</t>
        </is>
      </c>
      <c r="D7" t="inlineStr">
        <is>
          <t>미사용(대안 분류축)</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2.6" customWidth="1" min="1" max="1"/>
    <col width="24.3" customWidth="1" min="2" max="2"/>
    <col width="22.5" customWidth="1" min="3" max="3"/>
    <col width="60" customWidth="1" min="4" max="4"/>
  </cols>
  <sheetData>
    <row r="1">
      <c r="A1" t="inlineStr">
        <is>
          <t>파일</t>
        </is>
      </c>
      <c r="B1" t="inlineStr">
        <is>
          <t>내용</t>
        </is>
      </c>
      <c r="C1" t="inlineStr">
        <is>
          <t>정의</t>
        </is>
      </c>
      <c r="D1" t="inlineStr">
        <is>
          <t>어느 자리</t>
        </is>
      </c>
    </row>
    <row r="2">
      <c r="A2" t="inlineStr">
        <is>
          <t>`fundgr.xls`</t>
        </is>
      </c>
      <c r="B2" t="inlineStr">
        <is>
          <t>업종별 EPS 기대성장률</t>
        </is>
      </c>
      <c r="C2">
        <f> ROE×유보율(공식 산출, 컨센서스 아님)</f>
        <v/>
      </c>
      <c r="D2" t="inlineStr">
        <is>
          <t>성장률(EPS 기준)</t>
        </is>
      </c>
    </row>
    <row r="3">
      <c r="A3" t="inlineStr">
        <is>
          <t>`fundgrEB.xls`</t>
        </is>
      </c>
      <c r="B3" t="inlineStr">
        <is>
          <t>업종별 EBIT 기대성장률</t>
        </is>
      </c>
      <c r="C3" t="inlineStr">
        <is>
          <t>위와 동일 로직을 EBIT에 적용</t>
        </is>
      </c>
      <c r="D3" t="inlineStr">
        <is>
          <t>🔑 **역DCF 성장경로(층5) 후보** — "컨센서스 없음"이 가장 큰 구멍이었는데, 이건 컨센서스가 아니라 다모다란 자신의 공식산출 비컨센서스 성장률이라 우리 "과거추세" 원칙과 결이 맞음. NOPAT 기반 모델과도 EBIT이라 더 부합</t>
        </is>
      </c>
    </row>
    <row r="4">
      <c r="A4" t="inlineStr">
        <is>
          <t>`histgr.xls`</t>
        </is>
      </c>
      <c r="B4" t="inlineStr">
        <is>
          <t>업종별 과거 5/10년 실현 이익성장률(CAGR)</t>
        </is>
      </c>
      <c r="C4" t="inlineStr">
        <is>
          <t>후행 실현치</t>
        </is>
      </c>
      <c r="D4" t="inlineStr">
        <is>
          <t>성장률 교차검증(우리 Q3 층의 업종 벤치마크)</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60" customWidth="1" min="1" max="1"/>
    <col width="48.6" customWidth="1" min="2" max="2"/>
    <col width="54" customWidth="1" min="3" max="3"/>
  </cols>
  <sheetData>
    <row r="1">
      <c r="A1" t="inlineStr">
        <is>
          <t>파일</t>
        </is>
      </c>
      <c r="B1" t="inlineStr">
        <is>
          <t>내용</t>
        </is>
      </c>
      <c r="C1" t="inlineStr">
        <is>
          <t>후보 여부</t>
        </is>
      </c>
    </row>
    <row r="2">
      <c r="A2" t="inlineStr">
        <is>
          <t>`debtdetails.xls`</t>
        </is>
      </c>
      <c r="B2" t="inlineStr">
        <is>
          <t>부채 구성(고정/변동, 담보/무담보, 만기)</t>
        </is>
      </c>
      <c r="C2" t="inlineStr">
        <is>
          <t>부채 구성요소 세분화 후보(현재는 단일 부채 잔액만 사용)</t>
        </is>
      </c>
    </row>
    <row r="3">
      <c r="A3" t="inlineStr">
        <is>
          <t>`leaseeffect.xls`</t>
        </is>
      </c>
      <c r="B3" t="inlineStr">
        <is>
          <t>운용리스 자본화 조정</t>
        </is>
      </c>
      <c r="C3" t="inlineStr">
        <is>
          <t>ASC842 도입 이후 대부분 이미 재무제표 내 반영돼 유용성 감소 추정</t>
        </is>
      </c>
    </row>
    <row r="4">
      <c r="A4" t="inlineStr">
        <is>
          <t>`R&amp;D.xls`</t>
        </is>
      </c>
      <c r="B4" t="inlineStr">
        <is>
          <t>R&amp;D 지출/매출 비율</t>
        </is>
      </c>
      <c r="C4" t="inlineStr">
        <is>
          <t>🔑 R&amp;D 자본화 조정(등록부에 이미 "미검토·미배선" 이슈로 있던 항목)</t>
        </is>
      </c>
    </row>
    <row r="5">
      <c r="A5" t="inlineStr">
        <is>
          <t>`divfcfe.xls`·`divfund.xls`·`inshold.xls`·`goodwill.xls`·`finflows.xls`·`Employee.xls`·`DollarUS.xls`·`MktCap.xls`·`macro.xls`·`macrodur.xls`·`optvar.xls`</t>
        </is>
      </c>
      <c r="B5" t="inlineStr">
        <is>
          <t>(각각 배당정책·소유구조·영업권·자금조달·인당지표·달러표시 업종총계·업종시총·거시변수·옵션변동성)</t>
        </is>
      </c>
      <c r="C5" t="inlineStr">
        <is>
          <t>대부분 미사용, 밸류에이션 핵심 슬롯과 직결 안 됨(문서에 개별 기재, 표는 위 §신규발견 5절 원문 참조)</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6.1" customWidth="1" min="1" max="1"/>
    <col width="44.1" customWidth="1" min="2" max="2"/>
    <col width="24.3" customWidth="1" min="3" max="3"/>
    <col width="21.6" customWidth="1" min="4" max="4"/>
    <col width="60" customWidth="1" min="5" max="5"/>
    <col width="10" customWidth="1" min="6" max="6"/>
    <col width="17.1" customWidth="1" min="7" max="7"/>
    <col width="19.8" customWidth="1" min="8" max="8"/>
    <col width="44.1" customWidth="1" min="9" max="9"/>
  </cols>
  <sheetData>
    <row r="1">
      <c r="A1" t="inlineStr">
        <is>
          <t>제품군</t>
        </is>
      </c>
      <c r="B1" t="inlineStr">
        <is>
          <t>예시 티커</t>
        </is>
      </c>
      <c r="C1" t="inlineStr">
        <is>
          <t>무엇을 추종</t>
        </is>
      </c>
      <c r="D1" t="inlineStr">
        <is>
          <t>홀딩스 파일 확인</t>
        </is>
      </c>
      <c r="E1" t="inlineStr">
        <is>
          <t>정의</t>
        </is>
      </c>
      <c r="F1" t="inlineStr">
        <is>
          <t>형식</t>
        </is>
      </c>
      <c r="G1" t="inlineStr">
        <is>
          <t>갱신</t>
        </is>
      </c>
      <c r="H1" t="inlineStr">
        <is>
          <t>우리가 쓰는가</t>
        </is>
      </c>
      <c r="I1" t="inlineStr">
        <is>
          <t>어느 자리</t>
        </is>
      </c>
    </row>
    <row r="2">
      <c r="A2" t="inlineStr">
        <is>
          <t>섹터 Select ETF(11개)</t>
        </is>
      </c>
      <c r="B2" t="inlineStr">
        <is>
          <t>XLK·XLF·XLV 등</t>
        </is>
      </c>
      <c r="C2" t="inlineStr">
        <is>
          <t>S&amp;P 500 GICS 11섹터</t>
        </is>
      </c>
      <c r="D2" t="inlineStr">
        <is>
          <t>✅ 사용중</t>
        </is>
      </c>
      <c r="E2" t="inlineStr">
        <is>
          <t>일별 보유종목·비중·섹터 라벨</t>
        </is>
      </c>
      <c r="F2" t="inlineStr">
        <is>
          <t>XLSX</t>
        </is>
      </c>
      <c r="G2" t="inlineStr">
        <is>
          <t>매일("As of" 자기표기 확인)</t>
        </is>
      </c>
      <c r="H2" t="inlineStr">
        <is>
          <t>✅ **GICS 진짜 정답지**(939)</t>
        </is>
      </c>
      <c r="I2" t="inlineStr">
        <is>
          <t>섹터</t>
        </is>
      </c>
    </row>
    <row r="3">
      <c r="A3" t="inlineStr">
        <is>
          <t>핵심지수 ETF</t>
        </is>
      </c>
      <c r="B3" t="inlineStr">
        <is>
          <t>SPY(S&amp;P500)·MDY(S&amp;P400)</t>
        </is>
      </c>
      <c r="C3" t="inlineStr">
        <is>
          <t>대형/중형주 벤치마크</t>
        </is>
      </c>
      <c r="D3" t="inlineStr">
        <is>
          <t>✅ SPY 직접 확인(504종목)</t>
        </is>
      </c>
      <c r="E3" t="inlineStr">
        <is>
          <t>위와 동일 스키마</t>
        </is>
      </c>
      <c r="F3" t="inlineStr">
        <is>
          <t>XLSX</t>
        </is>
      </c>
      <c r="G3" t="inlineStr">
        <is>
          <t>매일</t>
        </is>
      </c>
      <c r="H3" t="inlineStr">
        <is>
          <t>❌ 미사용</t>
        </is>
      </c>
      <c r="I3" t="inlineStr">
        <is>
          <t>🔑 커버리지 확장 후보(S&amp;P500 넘어서는 확장은 안 됨, SPY 자체가 S&amp;P500)</t>
        </is>
      </c>
    </row>
    <row r="4">
      <c r="A4" t="inlineStr">
        <is>
          <t>산업 ETF(섹터보다 세분)</t>
        </is>
      </c>
      <c r="B4" t="inlineStr">
        <is>
          <t>KBE(은행)·KRE(지방은행)·XHB(주택건설)·XBI(바이오)·XSD(반도체)</t>
        </is>
      </c>
      <c r="C4" t="inlineStr">
        <is>
          <t>S&amp;P Select Industry Indices</t>
        </is>
      </c>
      <c r="D4" t="inlineStr">
        <is>
          <t>✅ KBE 직접 확인(103종목)</t>
        </is>
      </c>
      <c r="E4" t="inlineStr">
        <is>
          <t>Sector 컬럼은 **여전히 대분류 GICS**(세분류는 "어느 ETF에 속하는가"로만 판별 가능)</t>
        </is>
      </c>
      <c r="F4" t="inlineStr">
        <is>
          <t>XLSX</t>
        </is>
      </c>
      <c r="G4" t="inlineStr">
        <is>
          <t>매일</t>
        </is>
      </c>
      <c r="H4" t="inlineStr">
        <is>
          <t>❌ 미사용</t>
        </is>
      </c>
      <c r="I4" t="inlineStr">
        <is>
          <t>🔑 서브인더스트리 근사 후보(간접적)</t>
        </is>
      </c>
    </row>
    <row r="5">
      <c r="A5" t="inlineStr">
        <is>
          <t>팩터 ETF</t>
        </is>
      </c>
      <c r="B5" t="inlineStr">
        <is>
          <t>SPYV/SPYG(가치/성장)·MDYV/MDYG(중형가치/성장)·ONEV·ONEY·QUS</t>
        </is>
      </c>
      <c r="C5" t="inlineStr">
        <is>
          <t>가치·성장·저변동성·수익률·품질 팁트</t>
        </is>
      </c>
      <c r="D5" t="inlineStr">
        <is>
          <t>✅ MDYV 직접 확인, 나머지 패턴만 확인</t>
        </is>
      </c>
      <c r="E5" t="inlineStr">
        <is>
          <t>팩터 정의(지수사 기준)</t>
        </is>
      </c>
      <c r="F5" t="inlineStr">
        <is>
          <t>XLSX</t>
        </is>
      </c>
      <c r="G5" t="inlineStr">
        <is>
          <t>매일</t>
        </is>
      </c>
      <c r="H5" t="inlineStr">
        <is>
          <t>❌ 미사용</t>
        </is>
      </c>
      <c r="I5" t="inlineStr">
        <is>
          <t>미사용(팩터 렌즈와 잠재 연결 가능하나 이번 범위 밖)</t>
        </is>
      </c>
    </row>
    <row r="6">
      <c r="A6" t="inlineStr">
        <is>
          <t>Kensho 테마 ETF</t>
        </is>
      </c>
      <c r="B6" t="inlineStr">
        <is>
          <t>(Intelligent Structures 등)</t>
        </is>
      </c>
      <c r="C6" t="inlineStr">
        <is>
          <t>Kensho 자체정의 테마지수(GICS 아님)</t>
        </is>
      </c>
      <c r="D6" t="inlineStr">
        <is>
          <t>미확인</t>
        </is>
      </c>
      <c r="E6" t="inlineStr">
        <is>
          <t>—</t>
        </is>
      </c>
      <c r="F6" t="inlineStr">
        <is>
          <t>XLSX(추정)</t>
        </is>
      </c>
      <c r="G6" t="inlineStr">
        <is>
          <t>매일(추정)</t>
        </is>
      </c>
      <c r="H6" t="inlineStr">
        <is>
          <t>❌ 미사용</t>
        </is>
      </c>
      <c r="I6" t="inlineStr">
        <is>
          <t>미사용(GICS 대체재 아님)</t>
        </is>
      </c>
    </row>
    <row r="7">
      <c r="A7" t="inlineStr">
        <is>
          <t>🔑 **전체 SPDR 펀드 메타데이터**(신규 발견)</t>
        </is>
      </c>
      <c r="B7" t="inlineStr">
        <is>
          <t>`spdr-product-data-us-en.xlsx`</t>
        </is>
      </c>
      <c r="C7" t="inlineStr">
        <is>
          <t>약 253개 SPDR 상품 전체 1파일</t>
        </is>
      </c>
      <c r="D7" t="inlineStr">
        <is>
          <t>✅ 직접 확인·파싱</t>
        </is>
      </c>
      <c r="E7" t="inlineStr">
        <is>
          <t>Ticker·ISIN·만기비용비율·**AUM(Total Net Assets)**·**주식수(Shares Outstanding)**·**시가총액가중평균(Weighted Average Market Cap)**·P/E·P/B 등</t>
        </is>
      </c>
      <c r="F7" t="inlineStr">
        <is>
          <t>XLSX</t>
        </is>
      </c>
      <c r="G7" t="inlineStr">
        <is>
          <t>매일(추정)</t>
        </is>
      </c>
      <c r="H7" t="inlineStr">
        <is>
          <t>❌ 미사용(이번에 처음 발견)</t>
        </is>
      </c>
      <c r="I7" t="inlineStr">
        <is>
          <t>펀드 레벨 메타(개별종목 시총 아님 — 펀드 전체 지표)</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8.9" customWidth="1" min="1" max="1"/>
    <col width="40.5" customWidth="1" min="2" max="2"/>
    <col width="30.6" customWidth="1" min="3" max="3"/>
    <col width="60" customWidth="1" min="4" max="4"/>
  </cols>
  <sheetData>
    <row r="1">
      <c r="A1" t="inlineStr">
        <is>
          <t>서비스</t>
        </is>
      </c>
      <c r="B1" t="inlineStr">
        <is>
          <t>SEC 원문 직접 사용?</t>
        </is>
      </c>
      <c r="C1" t="inlineStr">
        <is>
          <t>Damodaran 사용?</t>
        </is>
      </c>
      <c r="D1" t="inlineStr">
        <is>
          <t>어떻게 조합하는가</t>
        </is>
      </c>
    </row>
    <row r="2">
      <c r="A2" t="inlineStr">
        <is>
          <t>**Simply Wall St**</t>
        </is>
      </c>
      <c r="B2" t="inlineStr">
        <is>
          <t>❌ (S&amp;P Global Market Intelligence가 정규화한 것을 씀)</t>
        </is>
      </c>
      <c r="C2" t="inlineStr">
        <is>
          <t>❌</t>
        </is>
      </c>
      <c r="D2" t="inlineStr">
        <is>
          <t>펀더멘털=S&amp;P Global, 가격=ICE — 원문 XBRL 미접촉</t>
        </is>
      </c>
    </row>
    <row r="3">
      <c r="A3" t="inlineStr">
        <is>
          <t>**stockanalysis.com**</t>
        </is>
      </c>
      <c r="B3" t="inlineStr">
        <is>
          <t>❌ (S&amp;P Global·Fiscal AI 이원화)</t>
        </is>
      </c>
      <c r="C3" t="inlineStr">
        <is>
          <t>❌</t>
        </is>
      </c>
      <c r="D3" t="inlineStr">
        <is>
          <t>데이터 종류별로 벤더를 따로 명시(펀더멘털·가격·애널리스트·기업행동·ETF보유 전부 별도 벤더) — "카테고리별 벤더 분리"가 이들의 패턴</t>
        </is>
      </c>
    </row>
    <row r="4">
      <c r="A4" t="inlineStr">
        <is>
          <t>**Finbox**</t>
        </is>
      </c>
      <c r="B4" t="inlineStr">
        <is>
          <t>❌ (S&amp;P Global 정규화)</t>
        </is>
      </c>
      <c r="C4" t="inlineStr">
        <is>
          <t>✅ **유일하게 확인된 SEC+Damodaran 병존 사례**</t>
        </is>
      </c>
      <c r="D4" t="inlineStr">
        <is>
          <t>단, **같은 화면에 병치할 뿐 하나의 계산 파이프라인으로 융합하지 않음**(Damodaran 자본비용 테이블을 별도 탭/섹션으로 노출)</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0" customWidth="1" min="1" max="1"/>
    <col width="34.2" customWidth="1" min="2" max="2"/>
    <col width="34.2" customWidth="1" min="3" max="3"/>
    <col width="10" customWidth="1" min="4" max="4"/>
    <col width="10" customWidth="1" min="5" max="5"/>
  </cols>
  <sheetData>
    <row r="1">
      <c r="A1" t="inlineStr">
        <is>
          <t>라운드</t>
        </is>
      </c>
      <c r="B1" t="inlineStr">
        <is>
          <t>각도</t>
        </is>
      </c>
      <c r="C1" t="inlineStr">
        <is>
          <t>조사 대상</t>
        </is>
      </c>
      <c r="D1" t="inlineStr">
        <is>
          <t>신규 발견</t>
        </is>
      </c>
      <c r="E1" t="inlineStr">
        <is>
          <t>R1 대비 비율</t>
        </is>
      </c>
    </row>
    <row r="2">
      <c r="A2" t="inlineStr">
        <is>
          <t>**R1**</t>
        </is>
      </c>
      <c r="B2" t="inlineStr">
        <is>
          <t>기관 중심("누가 주는가")</t>
        </is>
      </c>
      <c r="C2" t="inlineStr">
        <is>
          <t>27개 기관(공공6·거래소4·분류4·상용API9·기관급4)</t>
        </is>
      </c>
      <c r="D2" t="inlineStr">
        <is>
          <t>**27**(기준)</t>
        </is>
      </c>
      <c r="E2" t="inlineStr">
        <is>
          <t>—</t>
        </is>
      </c>
    </row>
    <row r="3">
      <c r="A3" t="inlineStr">
        <is>
          <t>**R2**</t>
        </is>
      </c>
      <c r="B3" t="inlineStr">
        <is>
          <t>데이터 중심 역방향("이 값을 어디서 받나", 16개 값별 검색)</t>
        </is>
      </c>
      <c r="C3" t="inlineStr">
        <is>
          <t>—</t>
        </is>
      </c>
      <c r="D3" t="inlineStr">
        <is>
          <t>**29**</t>
        </is>
      </c>
      <c r="E3" t="inlineStr">
        <is>
          <t>107.4%</t>
        </is>
      </c>
    </row>
    <row r="4">
      <c r="A4" t="inlineStr">
        <is>
          <t>**R3**</t>
        </is>
      </c>
      <c r="B4" t="inlineStr">
        <is>
          <t>타자 역추적("동종서비스는 뭘 쓰나" + 비교글 + OSS 의존목록)</t>
        </is>
      </c>
      <c r="C4" t="inlineStr">
        <is>
          <t>—</t>
        </is>
      </c>
      <c r="D4" t="inlineStr">
        <is>
          <t>**28**</t>
        </is>
      </c>
      <c r="E4" t="inlineStr">
        <is>
          <t>103.7%</t>
        </is>
      </c>
    </row>
    <row r="5">
      <c r="A5" t="inlineStr">
        <is>
          <t>**R4**</t>
        </is>
      </c>
      <c r="B5" t="inlineStr">
        <is>
          <t>규제/구조 기록 중심("규제 때문에 존재하는 데이터")</t>
        </is>
      </c>
      <c r="C5" t="inlineStr">
        <is>
          <t>13F·내부자거래·CAT·DTCC·주정부 등기소·Form15 등 8건</t>
        </is>
      </c>
      <c r="D5" t="inlineStr">
        <is>
          <t>**3**</t>
        </is>
      </c>
      <c r="E5" t="inlineStr">
        <is>
          <t>**11.1%**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0.5" customWidth="1" min="1" max="1"/>
    <col width="60" customWidth="1" min="2" max="2"/>
    <col width="60" customWidth="1" min="3" max="3"/>
    <col width="18.9" customWidth="1" min="4" max="4"/>
    <col width="12.6" customWidth="1" min="5" max="5"/>
    <col width="10" customWidth="1" min="6" max="6"/>
    <col width="10" customWidth="1" min="7" max="7"/>
    <col width="18.9" customWidth="1" min="8" max="8"/>
  </cols>
  <sheetData>
    <row r="1">
      <c r="A1" t="inlineStr">
        <is>
          <t>기관</t>
        </is>
      </c>
      <c r="B1" t="inlineStr">
        <is>
          <t>핵심 데이터셋</t>
        </is>
      </c>
      <c r="C1" t="inlineStr">
        <is>
          <t>정의</t>
        </is>
      </c>
      <c r="D1" t="inlineStr">
        <is>
          <t>형식</t>
        </is>
      </c>
      <c r="E1" t="inlineStr">
        <is>
          <t>인증</t>
        </is>
      </c>
      <c r="F1" t="inlineStr">
        <is>
          <t>갱신</t>
        </is>
      </c>
      <c r="G1" t="inlineStr">
        <is>
          <t>비용</t>
        </is>
      </c>
      <c r="H1" t="inlineStr">
        <is>
          <t>슬롯</t>
        </is>
      </c>
    </row>
    <row r="2">
      <c r="A2" t="inlineStr">
        <is>
          <t>**FRED**</t>
        </is>
      </c>
      <c r="B2" t="inlineStr">
        <is>
          <t>`DGS3MO/DGS2/DGS10/DGS30`(국채수익률) · `BAMLC0A1CAAA~BBB`(IG 등급별 스프레드) · `BAMLH0A1HYBB~HYC`(HY 등급별) · `BAA10Y`(Baa-10Y스프레드)</t>
        </is>
      </c>
      <c r="C2" t="inlineStr">
        <is>
          <t>재무부 CMT 곡선 재발행("Market Yield... at N Constant Maturity") · ICE BofA OAS(시총가중 등급별 지수)</t>
        </is>
      </c>
      <c r="D2" t="inlineStr">
        <is>
          <t>JSON/CSV/XML</t>
        </is>
      </c>
      <c r="E2" t="inlineStr">
        <is>
          <t>무료키 필요</t>
        </is>
      </c>
      <c r="F2" t="inlineStr">
        <is>
          <t>**매일**</t>
        </is>
      </c>
      <c r="G2" t="inlineStr">
        <is>
          <t>무료</t>
        </is>
      </c>
      <c r="H2" t="inlineStr">
        <is>
          <t>무위험수익률·신용스프레드</t>
        </is>
      </c>
    </row>
    <row r="3">
      <c r="A3" t="inlineStr">
        <is>
          <t>**US Treasury**(fiscaldata·home.treasury.gov)</t>
        </is>
      </c>
      <c r="B3" t="inlineStr">
        <is>
          <t>Daily Par Yield Curve Rates(1개월~30년)</t>
        </is>
      </c>
      <c r="C3" t="inlineStr">
        <is>
          <t>CMT 원천(FRED가 재발행하는 바로 그 곡선), NY Fed 오후3:30 지표호가 기반</t>
        </is>
      </c>
      <c r="D3" t="inlineStr">
        <is>
          <t>CSV/XML</t>
        </is>
      </c>
      <c r="E3" t="inlineStr">
        <is>
          <t>불필요</t>
        </is>
      </c>
      <c r="F3" t="inlineStr">
        <is>
          <t>매일</t>
        </is>
      </c>
      <c r="G3" t="inlineStr">
        <is>
          <t>무료</t>
        </is>
      </c>
      <c r="H3" t="inlineStr">
        <is>
          <t>무위험수익률(원천)</t>
        </is>
      </c>
    </row>
    <row r="4">
      <c r="A4" t="inlineStr">
        <is>
          <t>**BLS**</t>
        </is>
      </c>
      <c r="B4" t="inlineStr">
        <is>
          <t>CPI·PPI·고용 시계열(Public API v2)</t>
        </is>
      </c>
      <c r="C4" t="inlineStr">
        <is>
          <t>조사 기반 공식 통계</t>
        </is>
      </c>
      <c r="D4" t="inlineStr">
        <is>
          <t>JSON</t>
        </is>
      </c>
      <c r="E4" t="inlineStr">
        <is>
          <t>무료키(없어도 25콜/일)</t>
        </is>
      </c>
      <c r="F4" t="inlineStr">
        <is>
          <t>월별</t>
        </is>
      </c>
      <c r="G4" t="inlineStr">
        <is>
          <t>무료</t>
        </is>
      </c>
      <c r="H4" t="inlineStr">
        <is>
          <t>해당없음(거시, 16슬롯 밖)</t>
        </is>
      </c>
    </row>
    <row r="5">
      <c r="A5" t="inlineStr">
        <is>
          <t>**BEA**</t>
        </is>
      </c>
      <c r="B5" t="inlineStr">
        <is>
          <t>NIPA Table 1.14(법인세전이익·법인세·세후이익, 국민계정 집계)</t>
        </is>
      </c>
      <c r="C5" t="inlineStr">
        <is>
          <t>거시 집계, **기업단위 아님**</t>
        </is>
      </c>
      <c r="D5" t="inlineStr">
        <is>
          <t>JSON/XML</t>
        </is>
      </c>
      <c r="E5" t="inlineStr">
        <is>
          <t>무료키</t>
        </is>
      </c>
      <c r="F5" t="inlineStr">
        <is>
          <t>분기</t>
        </is>
      </c>
      <c r="G5" t="inlineStr">
        <is>
          <t>무료</t>
        </is>
      </c>
      <c r="H5" t="inlineStr">
        <is>
          <t>법인세율(약한 대리, 집계치)</t>
        </is>
      </c>
    </row>
    <row r="6">
      <c r="A6" t="inlineStr">
        <is>
          <t>**FINRA**</t>
        </is>
      </c>
      <c r="B6" t="inlineStr">
        <is>
          <t>Reg SHO 일별 공매도량 · 공매도잔고(월2회) · Threshold List(상환실패 지속종목)</t>
        </is>
      </c>
      <c r="C6" t="inlineStr">
        <is>
          <t>미명시 세부</t>
        </is>
      </c>
      <c r="D6" t="inlineStr">
        <is>
          <t>Flat file/CSV</t>
        </is>
      </c>
      <c r="E6" t="inlineStr">
        <is>
          <t>대부분 불필요</t>
        </is>
      </c>
      <c r="F6" t="inlineStr">
        <is>
          <t>일/월2회</t>
        </is>
      </c>
      <c r="G6" t="inlineStr">
        <is>
          <t>무료(비상업 조건)</t>
        </is>
      </c>
      <c r="H6" t="inlineStr">
        <is>
          <t>상장상태/폐지위험(약한 대리)</t>
        </is>
      </c>
    </row>
    <row r="7">
      <c r="A7" t="inlineStr">
        <is>
          <t>**CFTC**</t>
        </is>
      </c>
      <c r="B7" t="inlineStr">
        <is>
          <t>Commitments of Traders(COT, 선물 포지션)</t>
        </is>
      </c>
      <c r="C7" t="inlineStr">
        <is>
          <t>상품선물 롱숏 포지션(국채·주가지수선물 포함)</t>
        </is>
      </c>
      <c r="D7" t="inlineStr">
        <is>
          <t>JSON/CSV/XML(Socrata)</t>
        </is>
      </c>
      <c r="E7" t="inlineStr">
        <is>
          <t>불필요(토큰 선택)</t>
        </is>
      </c>
      <c r="F7" t="inlineStr">
        <is>
          <t>주별(금)</t>
        </is>
      </c>
      <c r="G7" t="inlineStr">
        <is>
          <t>무료</t>
        </is>
      </c>
      <c r="H7" t="inlineStr">
        <is>
          <t>해당없음(선물시장 구조, 16슬롯 밖)</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3.5" customWidth="1" min="1" max="1"/>
    <col width="36.9" customWidth="1" min="2" max="2"/>
    <col width="54" customWidth="1" min="3" max="3"/>
    <col width="22.5" customWidth="1" min="4" max="4"/>
    <col width="36" customWidth="1" min="5" max="5"/>
  </cols>
  <sheetData>
    <row r="1">
      <c r="A1" t="inlineStr">
        <is>
          <t>기관</t>
        </is>
      </c>
      <c r="B1" t="inlineStr">
        <is>
          <t>핵심 데이터셋</t>
        </is>
      </c>
      <c r="C1" t="inlineStr">
        <is>
          <t>정의</t>
        </is>
      </c>
      <c r="D1" t="inlineStr">
        <is>
          <t>무료 여부</t>
        </is>
      </c>
      <c r="E1" t="inlineStr">
        <is>
          <t>슬롯</t>
        </is>
      </c>
    </row>
    <row r="2">
      <c r="A2" t="inlineStr">
        <is>
          <t>**NYSE**</t>
        </is>
      </c>
      <c r="B2" t="inlineStr">
        <is>
          <t>Security Master·TAQ 이력·실시간 피드</t>
        </is>
      </c>
      <c r="C2" t="inlineStr">
        <is>
          <t>문서화됨(스펙PDF)</t>
        </is>
      </c>
      <c r="D2" t="inlineStr">
        <is>
          <t>❌ 전부 유료/기업계약</t>
        </is>
      </c>
      <c r="E2" t="inlineStr">
        <is>
          <t>종목마스터·주가(전부 유료라 실사용 불가)</t>
        </is>
      </c>
    </row>
    <row r="3">
      <c r="A3" t="inlineStr">
        <is>
          <t>**Cboe**</t>
        </is>
      </c>
      <c r="B3" t="inlineStr">
        <is>
          <t>옵션 레퍼런스데이터(무료 CSV) · DataShop(유료, 14일 체험)</t>
        </is>
      </c>
      <c r="C3" t="inlineStr">
        <is>
          <t>미명시</t>
        </is>
      </c>
      <c r="D3" t="inlineStr">
        <is>
          <t>🟡 옵션 종목목록만 무료</t>
        </is>
      </c>
      <c r="E3" t="inlineStr">
        <is>
          <t>종목마스터(옵션 한정)</t>
        </is>
      </c>
    </row>
    <row r="4">
      <c r="A4" t="inlineStr">
        <is>
          <t>**OTC Markets**</t>
        </is>
      </c>
      <c r="B4" t="inlineStr">
        <is>
          <t>Security Master·실시간시세·OTC Disclosure API</t>
        </is>
      </c>
      <c r="C4" t="inlineStr">
        <is>
          <t>미명시(문서 접근 실패, 미검증)</t>
        </is>
      </c>
      <c r="D4" t="inlineStr">
        <is>
          <t>❌ 전부 유료로 보임(무료API 확인 안 됨)</t>
        </is>
      </c>
      <c r="E4" t="inlineStr">
        <is>
          <t>종목마스터·상장상태(현재 나스닥 파생 데이터보다 권위 있으나 접근 불가)</t>
        </is>
      </c>
    </row>
    <row r="5">
      <c r="A5" t="inlineStr">
        <is>
          <t>**IEX(거래소)**</t>
        </is>
      </c>
      <c r="B5" t="inlineStr">
        <is>
          <t>HIST(과거 틱데이터) 무료 · TOPS/DEEP(실시간)은 계약 필요</t>
        </is>
      </c>
      <c r="C5" t="inlineStr">
        <is>
          <t>🔴 **IEX Cloud(무료 개발자API)는 2024-08-31 종료 확정** — 후속업체는 IEX와 무관</t>
        </is>
      </c>
      <c r="D5" t="inlineStr">
        <is>
          <t>🟡 과거 틱데이터만 무료</t>
        </is>
      </c>
      <c r="E5" t="inlineStr">
        <is>
          <t>주가(과거 틱, 일상 파이프라인엔 안 맞음)</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9.8" customWidth="1" min="1" max="1"/>
    <col width="38.7" customWidth="1" min="2" max="2"/>
    <col width="48.6" customWidth="1" min="3" max="3"/>
    <col width="21.6" customWidth="1" min="4" max="4"/>
  </cols>
  <sheetData>
    <row r="1">
      <c r="A1" t="inlineStr">
        <is>
          <t>기관</t>
        </is>
      </c>
      <c r="B1" t="inlineStr">
        <is>
          <t>체계(무료)</t>
        </is>
      </c>
      <c r="C1" t="inlineStr">
        <is>
          <t>종목별 매핑(유료여부)</t>
        </is>
      </c>
      <c r="D1" t="inlineStr">
        <is>
          <t>슬롯</t>
        </is>
      </c>
    </row>
    <row r="2">
      <c r="A2" t="inlineStr">
        <is>
          <t>**MSCI**(GICS 공동소유)</t>
        </is>
      </c>
      <c r="B2" t="inlineStr">
        <is>
          <t>방법론 PDF 무료</t>
        </is>
      </c>
      <c r="C2" t="inlineStr">
        <is>
          <t>❌ GICS Direct 라이선스</t>
        </is>
      </c>
      <c r="D2" t="inlineStr">
        <is>
          <t>섹터분류(체계 참고만)</t>
        </is>
      </c>
    </row>
    <row r="3">
      <c r="A3" t="inlineStr">
        <is>
          <t>**S&amp;P DJI**(GICS 공동소유)</t>
        </is>
      </c>
      <c r="B3" t="inlineStr">
        <is>
          <t>지수 방법론 PDF 무료</t>
        </is>
      </c>
      <c r="C3" t="inlineStr">
        <is>
          <t>❌ 라이선스, 무료 구성종목 목록도 공식으로는 없음(위키·Barchart 등 비공식 미러만 존재)</t>
        </is>
      </c>
      <c r="D3" t="inlineStr">
        <is>
          <t>섹터분류(체계 참고만)</t>
        </is>
      </c>
    </row>
    <row r="4">
      <c r="A4" t="inlineStr">
        <is>
          <t>**FTSE Russell**</t>
        </is>
      </c>
      <c r="B4" t="inlineStr">
        <is>
          <t>ICB 구조 정의 XLSX 무료(11산업/20슈퍼섹터/45섹터/173서브섹터)</t>
        </is>
      </c>
      <c r="C4" t="inlineStr">
        <is>
          <t>❌ 종목별 라이선스 필요</t>
        </is>
      </c>
      <c r="D4" t="inlineStr">
        <is>
          <t>섹터분류(다른 체계, 대체재 아님)</t>
        </is>
      </c>
    </row>
    <row r="5">
      <c r="A5" t="inlineStr">
        <is>
          <t>**Morningstar**</t>
        </is>
      </c>
      <c r="B5" t="inlineStr">
        <is>
          <t>개별종목 페이지 무료(대량조회 ToS 위반)</t>
        </is>
      </c>
      <c r="C5" t="inlineStr">
        <is>
          <t>🟡 Morningstar연계 ETF로 근사 가능하나 SPDR과 커버리지 동급</t>
        </is>
      </c>
      <c r="D5" t="inlineStr">
        <is>
          <t>섹터분류(SPDR과 대체 관계, 확장 아님)</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6.1" customWidth="1" min="1" max="1"/>
    <col width="23.4" customWidth="1" min="2" max="2"/>
    <col width="49.5" customWidth="1" min="3" max="3"/>
    <col width="29.7" customWidth="1" min="4" max="4"/>
  </cols>
  <sheetData>
    <row r="1">
      <c r="A1" t="inlineStr">
        <is>
          <t>기관</t>
        </is>
      </c>
      <c r="B1" t="inlineStr">
        <is>
          <t>무료tier(정확한 한도)</t>
        </is>
      </c>
      <c r="C1" t="inlineStr">
        <is>
          <t>재무데이터 원문추적성</t>
        </is>
      </c>
      <c r="D1" t="inlineStr">
        <is>
          <t>슬롯</t>
        </is>
      </c>
    </row>
    <row r="2">
      <c r="A2" t="inlineStr">
        <is>
          <t>**Polygon.io/Massive**</t>
        </is>
      </c>
      <c r="B2" t="inlineStr">
        <is>
          <t>5콜/분, EOD만, 2년치</t>
        </is>
      </c>
      <c r="C2" t="inlineStr">
        <is>
          <t>🟡 `include_sources=true`로 부분 추적(정규화+출처표기)</t>
        </is>
      </c>
      <c r="D2" t="inlineStr">
        <is>
          <t>전체(유료전환 필요)</t>
        </is>
      </c>
    </row>
    <row r="3">
      <c r="A3" t="inlineStr">
        <is>
          <t>**Financial Modeling Prep**</t>
        </is>
      </c>
      <c r="B3" t="inlineStr">
        <is>
          <t>250콜/일</t>
        </is>
      </c>
      <c r="C3" t="inlineStr">
        <is>
          <t>❌ 미확인(공식문서 접근 실패)</t>
        </is>
      </c>
      <c r="D3" t="inlineStr">
        <is>
          <t>전체</t>
        </is>
      </c>
    </row>
    <row r="4">
      <c r="A4" t="inlineStr">
        <is>
          <t>**Alpha Vantage**</t>
        </is>
      </c>
      <c r="B4" t="inlineStr">
        <is>
          <t>25콜/일</t>
        </is>
      </c>
      <c r="C4" t="inlineStr">
        <is>
          <t>❌ "GAAP/IFRS로 정규화" 자인</t>
        </is>
      </c>
      <c r="D4" t="inlineStr">
        <is>
          <t>전체</t>
        </is>
      </c>
    </row>
    <row r="5">
      <c r="A5" t="inlineStr">
        <is>
          <t>**Tiingo**</t>
        </is>
      </c>
      <c r="B5" t="inlineStr">
        <is>
          <t>1,000콜/일(가격), 재무는 Dow30 한정</t>
        </is>
      </c>
      <c r="C5" t="inlineStr">
        <is>
          <t>❌ 미공개 서드파티</t>
        </is>
      </c>
      <c r="D5" t="inlineStr">
        <is>
          <t>가격 위주</t>
        </is>
      </c>
    </row>
    <row r="6">
      <c r="A6" t="inlineStr">
        <is>
          <t>**Intrinio**</t>
        </is>
      </c>
      <c r="B6" t="inlineStr">
        <is>
          <t>사실상 없음(2주 체험뿐)</t>
        </is>
      </c>
      <c r="C6" t="inlineStr">
        <is>
          <t>🟡 as-reported 엔드포인트=원문+출처링크(가장 추적성 좋음)</t>
        </is>
      </c>
      <c r="D6" t="inlineStr">
        <is>
          <t>전체(비쌈)</t>
        </is>
      </c>
    </row>
    <row r="7">
      <c r="A7" t="inlineStr">
        <is>
          <t>**EODHD**</t>
        </is>
      </c>
      <c r="B7" t="inlineStr">
        <is>
          <t>20콜/일</t>
        </is>
      </c>
      <c r="C7" t="inlineStr">
        <is>
          <t>❌ 미명시, GICS 4단계 필드 명시 보유(9곳 중 유일)</t>
        </is>
      </c>
      <c r="D7" t="inlineStr">
        <is>
          <t>섹터분류(GICS 필드 있음, 출처 신뢰도 별도 확인 필요)</t>
        </is>
      </c>
    </row>
    <row r="8">
      <c r="A8" t="inlineStr">
        <is>
          <t>**Twelve Data**</t>
        </is>
      </c>
      <c r="B8" t="inlineStr">
        <is>
          <t>8콜/분·800/일, 완전재무는 $329/월</t>
        </is>
      </c>
      <c r="C8" t="inlineStr">
        <is>
          <t>❌ 미확인</t>
        </is>
      </c>
      <c r="D8" t="inlineStr">
        <is>
          <t>전체</t>
        </is>
      </c>
    </row>
    <row r="9">
      <c r="A9" t="inlineStr">
        <is>
          <t>**Finnhub**</t>
        </is>
      </c>
      <c r="B9" t="inlineStr">
        <is>
          <t>60콜/분이나 **비상업용 한정**</t>
        </is>
      </c>
      <c r="C9" t="inlineStr">
        <is>
          <t>🟢 `financials-reported`=원문 태그명+출처filing 보존(사실상 SEC 재서빙)</t>
        </is>
      </c>
      <c r="D9" t="inlineStr">
        <is>
          <t>전체(단 상업이용 불가)</t>
        </is>
      </c>
    </row>
    <row r="10">
      <c r="A10" t="inlineStr">
        <is>
          <t>**Nasdaq Data Link(구Quandl)**</t>
        </is>
      </c>
      <c r="B10" t="inlineStr">
        <is>
          <t>무료 WIKI는 **2018-03 영구중단**</t>
        </is>
      </c>
      <c r="C10" t="inlineStr">
        <is>
          <t>❌ Sharadar=정규화, 유료</t>
        </is>
      </c>
      <c r="D10" t="inlineStr">
        <is>
          <t>사실상 무료 대안 없음</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6.2" customWidth="1" min="1" max="1"/>
    <col width="58.5" customWidth="1" min="2" max="2"/>
    <col width="25.2" customWidth="1" min="3" max="3"/>
  </cols>
  <sheetData>
    <row r="1">
      <c r="A1" t="inlineStr">
        <is>
          <t>기관</t>
        </is>
      </c>
      <c r="B1" t="inlineStr">
        <is>
          <t>고유 카테고리</t>
        </is>
      </c>
      <c r="C1" t="inlineStr">
        <is>
          <t>비용</t>
        </is>
      </c>
    </row>
    <row r="2">
      <c r="A2" t="inlineStr">
        <is>
          <t>**LSEG/Refinitiv**</t>
        </is>
      </c>
      <c r="B2" t="inlineStr">
        <is>
          <t>I/B/E/S 컨센서스 추정치(방법론 공개: SmartEstimate=이상치 제외+최신성 가중+애널리스트 트랙레코드)</t>
        </is>
      </c>
      <c r="C2" t="inlineStr">
        <is>
          <t>~$1,500-3,000/월 플랫폼 + 데이터 별도</t>
        </is>
      </c>
    </row>
    <row r="3">
      <c r="A3" t="inlineStr">
        <is>
          <t>**Bloomberg**</t>
        </is>
      </c>
      <c r="B3" t="inlineStr">
        <is>
          <t>BEst 컨센서스(방법론 비공개)</t>
        </is>
      </c>
      <c r="C3" t="inlineStr">
        <is>
          <t>~$24,000-30,000/년/좌석</t>
        </is>
      </c>
    </row>
    <row r="4">
      <c r="A4" t="inlineStr">
        <is>
          <t>**FactSet**</t>
        </is>
      </c>
      <c r="B4" t="inlineStr">
        <is>
          <t>Revere 택소노미(7,000+ 세분류, GICS보다 깊음)</t>
        </is>
      </c>
      <c r="C4" t="inlineStr">
        <is>
          <t>계약별(비공개)</t>
        </is>
      </c>
    </row>
    <row r="5">
      <c r="A5" t="inlineStr">
        <is>
          <t>**S&amp;P Capital IQ**</t>
        </is>
      </c>
      <c r="B5" t="inlineStr">
        <is>
          <t>Visible Alpha(200+ 브로커·100만+ 컨센서스 라인아이템, 포함기준 문서화)</t>
        </is>
      </c>
      <c r="C5" t="inlineStr">
        <is>
          <t>$12,000~$300,000+/계약</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8.9" customWidth="1" min="1" max="1"/>
    <col width="60" customWidth="1" min="2" max="2"/>
    <col width="60" customWidth="1" min="3" max="3"/>
  </cols>
  <sheetData>
    <row r="1">
      <c r="A1" t="inlineStr">
        <is>
          <t>값</t>
        </is>
      </c>
      <c r="B1" t="inlineStr">
        <is>
          <t>신규 발견</t>
        </is>
      </c>
      <c r="C1" t="inlineStr">
        <is>
          <t>핵심 한줄</t>
        </is>
      </c>
    </row>
    <row r="2">
      <c r="A2" t="inlineStr">
        <is>
          <t>시가총액/주가/배당</t>
        </is>
      </c>
      <c r="B2" t="inlineStr">
        <is>
          <t>stooq.com·Marketstack·Finviz·macrotrends.net·Wisesheets·Financial Datasets·Eulerpool·DTCC·Databento·sec-api.io</t>
        </is>
      </c>
      <c r="C2" t="inlineStr">
        <is>
          <t>🔴 **발행주식수의 free 이력 시계열**은 SEC DERA 벌크(우리가 이미 씀)가 사실상 최선 — 대부분 스냅샷 1건뿐</t>
        </is>
      </c>
    </row>
    <row r="3">
      <c r="A3" t="inlineStr">
        <is>
          <t>순이익/자기자본/매출/부채</t>
        </is>
      </c>
      <c r="B3" t="inlineStr">
        <is>
          <t>xbrl.us·edgartools(OSS)·OpenBB·SimFin·WSJ(FactSet소싱)·Simply Wall St·stockanalysis.com·오픈소스 XBRL 파서군</t>
        </is>
      </c>
      <c r="C3" t="inlineStr">
        <is>
          <t>🟢 **edgartools**(OSS, MIT)가 `get_raw_data()`로 SEC 원문 그대로 접근 — 우리 원칙과 완전히 부합(단, SEC를 대체가 아니라 같은 소스에 접근하는 다른 클라이언트)</t>
        </is>
      </c>
    </row>
    <row r="4">
      <c r="A4" t="inlineStr">
        <is>
          <t>업종배수/베타/ERP/세율/신용스프레드</t>
        </is>
      </c>
      <c r="B4" t="inlineStr">
        <is>
          <t>Siblis Research·Yardeni Research·FullRatio·GuruFocus·CSIMarket·Fernandez(IESE 서베이)·Duke CFO Survey(Graham&amp;Harvey)·Tax Foundation·IRS</t>
        </is>
      </c>
      <c r="C4" t="inlineStr">
        <is>
          <t>🟢 **Duke CFO Survey = 분기 갱신 ERP**(Damodaran 연1회보다 빠름, 단 서베이 정의라 시장내재치와 다른 개념) · 🟢 **FRED ICE BofA OAS = 매일 등급별 신용스프레드**(위 R1a에 이미 기재, 가장 강한 발견)</t>
        </is>
      </c>
    </row>
    <row r="5">
      <c r="A5" t="inlineStr">
        <is>
          <t>섹터분류/상장폐지위험/종목마스터</t>
        </is>
      </c>
      <c r="B5" t="inlineStr">
        <is>
          <t>OpenFIGI·GLEIF</t>
        </is>
      </c>
      <c r="C5" t="inlineStr">
        <is>
          <t>🟢 **OpenFIGI**(Bloomberg 무료 공개, 티커/CUSIP/ISIN↔FIGI 매핑, CIK 필드는 없음) · **GLEIF**(LEI, 무료 ISIN-LEI 매핑)</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3" customWidth="1" min="1" max="1"/>
    <col width="60" customWidth="1" min="2" max="2"/>
  </cols>
  <sheetData>
    <row r="1">
      <c r="A1" t="inlineStr">
        <is>
          <t>그룹</t>
        </is>
      </c>
      <c r="B1" t="inlineStr">
        <is>
          <t>신규 발견</t>
        </is>
      </c>
    </row>
    <row r="2">
      <c r="A2" t="inlineStr">
        <is>
          <t>동종서비스 자체 공개 소스</t>
        </is>
      </c>
      <c r="B2" t="inlineStr">
        <is>
          <t>S&amp;P Global Market Intelligence·Fiscal AI·Nasdaq UTP·Hiive·TipRanks·Quartr·BlueMatrix·ICE Market Data·QuoteMedia(CSI)·True FX·Trading Economics·Koyfin</t>
        </is>
      </c>
    </row>
    <row r="3">
      <c r="A3" t="inlineStr">
        <is>
          <t>비교글 발견</t>
        </is>
      </c>
      <c r="B3" t="inlineStr">
        <is>
          <t>Calcbench·Daloopa·FinancialData.Net</t>
        </is>
      </c>
    </row>
    <row r="4">
      <c r="A4" t="inlineStr">
        <is>
          <t>OSS 의존목록 발견(OpenBB·pandas-datareader)</t>
        </is>
      </c>
      <c r="B4" t="inlineStr">
        <is>
          <t>EconDB·Ken French Data Library·Bank of Canada·World Bank·Eurostat·OECD·Benzinga·Biztoc·Deribit·TMX Group·Tradier·Seeking Alpha</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8.8" customWidth="1" min="1" max="1"/>
    <col width="40.5" customWidth="1" min="2" max="2"/>
    <col width="28.8" customWidth="1" min="3" max="3"/>
  </cols>
  <sheetData>
    <row r="1">
      <c r="A1" t="inlineStr">
        <is>
          <t>소스</t>
        </is>
      </c>
      <c r="B1" t="inlineStr">
        <is>
          <t>무엇</t>
        </is>
      </c>
      <c r="C1" t="inlineStr">
        <is>
          <t>슬롯 매핑</t>
        </is>
      </c>
    </row>
    <row r="2">
      <c r="A2" t="inlineStr">
        <is>
          <t>**SEC Form 13F 데이터셋**</t>
        </is>
      </c>
      <c r="B2" t="inlineStr">
        <is>
          <t>분기별 기관투자자 보유내역 전체 벌크(무료)</t>
        </is>
      </c>
      <c r="C2" t="inlineStr">
        <is>
          <t>❌ 16슬롯 밖(소유구조 데이터)</t>
        </is>
      </c>
    </row>
    <row r="3">
      <c r="A3" t="inlineStr">
        <is>
          <t>**SEC 내부자거래 데이터셋**(Form3/4/5 벌크)</t>
        </is>
      </c>
      <c r="B3" t="inlineStr">
        <is>
          <t>분기별 내부자거래 전체 벌크(무료)</t>
        </is>
      </c>
      <c r="C3" t="inlineStr">
        <is>
          <t>❌ 16슬롯 밖(소유구조 데이터)</t>
        </is>
      </c>
    </row>
    <row r="4">
      <c r="A4" t="inlineStr">
        <is>
          <t>**델라웨어주 법인등기소**</t>
        </is>
      </c>
      <c r="B4" t="inlineStr">
        <is>
          <t>법인 존재확인(무료) / 상태(active·dissolved, $10~20 유료)</t>
        </is>
      </c>
      <c r="C4" t="inlineStr">
        <is>
          <t>🟡 상장상태/폐지위험 — 핵심 필드가 유료라 실사용 어려움</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0" customWidth="1" min="1" max="1"/>
    <col width="29.7" customWidth="1" min="2" max="2"/>
    <col width="60" customWidth="1" min="3" max="3"/>
    <col width="60" customWidth="1" min="4" max="4"/>
  </cols>
  <sheetData>
    <row r="1">
      <c r="A1" t="inlineStr">
        <is>
          <t>#</t>
        </is>
      </c>
      <c r="B1" t="inlineStr">
        <is>
          <t>카테고리</t>
        </is>
      </c>
      <c r="C1" t="inlineStr">
        <is>
          <t>대표 소스</t>
        </is>
      </c>
      <c r="D1" t="inlineStr">
        <is>
          <t>핵심 정의</t>
        </is>
      </c>
    </row>
    <row r="2">
      <c r="A2" t="inlineStr">
        <is>
          <t>1</t>
        </is>
      </c>
      <c r="B2" t="inlineStr">
        <is>
          <t>시가총액·기말발행주식수 기준</t>
        </is>
      </c>
      <c r="C2" t="inlineStr">
        <is>
          <t>(우리 정본, SEC 주식수×종가로 직접 조립)</t>
        </is>
      </c>
      <c r="D2" t="inlineStr">
        <is>
          <t>975 정본 — 외부 대조 시 이 기준</t>
        </is>
      </c>
    </row>
    <row r="3">
      <c r="A3" t="inlineStr">
        <is>
          <t>2</t>
        </is>
      </c>
      <c r="B3" t="inlineStr">
        <is>
          <t>시가총액·가중평균희석주식수 기준</t>
        </is>
      </c>
      <c r="C3" t="inlineStr">
        <is>
          <t>일부 벤더(구체 미확인)</t>
        </is>
      </c>
      <c r="D3" t="inlineStr">
        <is>
          <t>975에서 8.29% 차이 확인 — 다른 카테고리</t>
        </is>
      </c>
    </row>
    <row r="4">
      <c r="A4" t="inlineStr">
        <is>
          <t>3</t>
        </is>
      </c>
      <c r="B4" t="inlineStr">
        <is>
          <t>시가총액·계산기준 미명시(벤더 사전계산)</t>
        </is>
      </c>
      <c r="C4" t="inlineStr">
        <is>
          <t>Yahoo(quote/quoteSummary)·Nasdaq스크리너/quote·FMP·Alpha Vantage·EODHD·Wisesheets 등</t>
        </is>
      </c>
      <c r="D4" t="inlineStr">
        <is>
          <t>위 1·2 중 어느 쪽인지 불명 — 검증 없이 신뢰 불가</t>
        </is>
      </c>
    </row>
    <row r="5">
      <c r="A5" t="inlineStr">
        <is>
          <t>4</t>
        </is>
      </c>
      <c r="B5" t="inlineStr">
        <is>
          <t>발행주식수·SEC원문 태그(시점 명시)</t>
        </is>
      </c>
      <c r="C5" t="inlineStr">
        <is>
          <t>SEC `dei:EntityCommonStockSharesOutstanding`</t>
        </is>
      </c>
      <c r="D5" t="inlineStr">
        <is>
          <t>우리 정본</t>
        </is>
      </c>
    </row>
    <row r="6">
      <c r="A6" t="inlineStr">
        <is>
          <t>5</t>
        </is>
      </c>
      <c r="B6" t="inlineStr">
        <is>
          <t>발행주식수·이력 시계열(free)</t>
        </is>
      </c>
      <c r="C6" t="inlineStr">
        <is>
          <t>SEC DERA 벌크(FSDS)</t>
        </is>
      </c>
      <c r="D6" t="inlineStr">
        <is>
          <t>유일한 free 다년 시계열</t>
        </is>
      </c>
    </row>
    <row r="7">
      <c r="A7" t="inlineStr">
        <is>
          <t>6</t>
        </is>
      </c>
      <c r="B7" t="inlineStr">
        <is>
          <t>발행주식수·벤더 스냅샷(시점 불명)</t>
        </is>
      </c>
      <c r="C7" t="inlineStr">
        <is>
          <t>Yahoo defaultKeyStatistics·Alpha Vantage OVERVIEW·Finviz 등</t>
        </is>
      </c>
      <c r="D7" t="inlineStr">
        <is>
          <t>현재값만, 이력 없음</t>
        </is>
      </c>
    </row>
    <row r="8">
      <c r="A8" t="inlineStr">
        <is>
          <t>7</t>
        </is>
      </c>
      <c r="B8" t="inlineStr">
        <is>
          <t>주가·비조정 종가</t>
        </is>
      </c>
      <c r="C8" t="inlineStr">
        <is>
          <t>각 거래소·벤더</t>
        </is>
      </c>
      <c r="D8" t="inlineStr">
        <is>
          <t>—</t>
        </is>
      </c>
    </row>
    <row r="9">
      <c r="A9" t="inlineStr">
        <is>
          <t>8</t>
        </is>
      </c>
      <c r="B9" t="inlineStr">
        <is>
          <t>주가·배당/분할조정 종가</t>
        </is>
      </c>
      <c r="C9" t="inlineStr">
        <is>
          <t>stooq·Tiingo·EODHD·Yahoo chart 등</t>
        </is>
      </c>
      <c r="D9" t="inlineStr">
        <is>
          <t>조정방식 대부분 미명시</t>
        </is>
      </c>
    </row>
    <row r="10">
      <c r="A10" t="inlineStr">
        <is>
          <t>9</t>
        </is>
      </c>
      <c r="B10" t="inlineStr">
        <is>
          <t>재무제표·SEC원문 태그(추적가능)</t>
        </is>
      </c>
      <c r="C10" t="inlineStr">
        <is>
          <t>SEC companyfacts/벌크ZIP/FSDS·edgartools·xbrl.us·오픈소스 XBRL파서군</t>
        </is>
      </c>
      <c r="D10" t="inlineStr">
        <is>
          <t>우리 정본 — 태그명 보존</t>
        </is>
      </c>
    </row>
    <row r="11">
      <c r="A11" t="inlineStr">
        <is>
          <t>10</t>
        </is>
      </c>
      <c r="B11" t="inlineStr">
        <is>
          <t>재무제표·벤더 정규화(추적불가)</t>
        </is>
      </c>
      <c r="C11" t="inlineStr">
        <is>
          <t>FMP·Alpha Vantage·Tiingo·EODHD·SimFin·WSJ 등 대다수</t>
        </is>
      </c>
      <c r="D11" t="inlineStr">
        <is>
          <t>재분류 규칙 비공개</t>
        </is>
      </c>
    </row>
    <row r="12">
      <c r="A12" t="inlineStr">
        <is>
          <t>11</t>
        </is>
      </c>
      <c r="B12" t="inlineStr">
        <is>
          <t>재무제표·벤더 정규화+출처표기(부분추적)</t>
        </is>
      </c>
      <c r="C12" t="inlineStr">
        <is>
          <t>Polygon(`include_sources`)·Wisesheets(XBRL인용)·Intrinio(as-reported)</t>
        </is>
      </c>
      <c r="D12" t="inlineStr">
        <is>
          <t>정규화하되 원문 링크 제공</t>
        </is>
      </c>
    </row>
    <row r="13">
      <c r="A13" t="inlineStr">
        <is>
          <t>12</t>
        </is>
      </c>
      <c r="B13" t="inlineStr">
        <is>
          <t>섹터분류·GICS(라이선스, 무료경로 없음)</t>
        </is>
      </c>
      <c r="C13" t="inlineStr">
        <is>
          <t>MSCI/S&amp;P DJI GICS Direct</t>
        </is>
      </c>
      <c r="D13" t="inlineStr">
        <is>
          <t>무료 아님</t>
        </is>
      </c>
    </row>
    <row r="14">
      <c r="A14" t="inlineStr">
        <is>
          <t>13</t>
        </is>
      </c>
      <c r="B14" t="inlineStr">
        <is>
          <t>섹터분류·GICS 근사(ETF보유 역산, S&amp;P500 한정)</t>
        </is>
      </c>
      <c r="C14" t="inlineStr">
        <is>
          <t>SPDR 11섹터 ETF(정본)·Morningstar연계ETF(대체재, 커버리지 동급)</t>
        </is>
      </c>
      <c r="D14" t="inlineStr">
        <is>
          <t>~500~530종목 상한</t>
        </is>
      </c>
    </row>
    <row r="15">
      <c r="A15" t="inlineStr">
        <is>
          <t>14</t>
        </is>
      </c>
      <c r="B15" t="inlineStr">
        <is>
          <t>섹터분류·비GICS 자체체계(서로 대체 불가)</t>
        </is>
      </c>
      <c r="C15" t="inlineStr">
        <is>
          <t>나스닥(12개)·야후(11개,GICS 1:1대응)·SEC SIC·Damodaran(94개)·ICB(FTSE, 45섹터)·Morningstar(11개)</t>
        </is>
      </c>
      <c r="D15" t="inlineStr">
        <is>
          <t>체계가 달라 섞으면 안 됨</t>
        </is>
      </c>
    </row>
    <row r="16">
      <c r="A16" t="inlineStr">
        <is>
          <t>15</t>
        </is>
      </c>
      <c r="B16" t="inlineStr">
        <is>
          <t>업종 집계배수·연1회 학술</t>
        </is>
      </c>
      <c r="C16" t="inlineStr">
        <is>
          <t>Damodaran(pedata·pbvdata·psdata·vebitda 등)</t>
        </is>
      </c>
      <c r="D16" t="inlineStr">
        <is>
          <t>우리 정본</t>
        </is>
      </c>
    </row>
    <row r="17">
      <c r="A17" t="inlineStr">
        <is>
          <t>16</t>
        </is>
      </c>
      <c r="B17" t="inlineStr">
        <is>
          <t>업종 집계배수·반기 이상(부분무료)</t>
        </is>
      </c>
      <c r="C17" t="inlineStr">
        <is>
          <t>Siblis Research(반기)·Yardeni(주간, 차트뿐)·stockanalysis.com(주기미상)</t>
        </is>
      </c>
      <c r="D17" t="inlineStr">
        <is>
          <t>문서화된 방법론은 Siblis뿐</t>
        </is>
      </c>
    </row>
    <row r="18">
      <c r="A18" t="inlineStr">
        <is>
          <t>17</t>
        </is>
      </c>
      <c r="B18" t="inlineStr">
        <is>
          <t>업종 베타·연1회 학술(대체 소스 없음 확인)</t>
        </is>
      </c>
      <c r="C18" t="inlineStr">
        <is>
          <t>Damodaran betas.xls</t>
        </is>
      </c>
      <c r="D18" t="inlineStr">
        <is>
          <t>R1~R4 전체에서 무료 대체재 못 찾음</t>
        </is>
      </c>
    </row>
    <row r="19">
      <c r="A19" t="inlineStr">
        <is>
          <t>18</t>
        </is>
      </c>
      <c r="B19" t="inlineStr">
        <is>
          <t>ERP·연1회 시장내재</t>
        </is>
      </c>
      <c r="C19" t="inlineStr">
        <is>
          <t>🔴 **정정(1002) — `histimpl.xls`(연간)와 `ERPbymonth.xlsx`(월간, 1001 발견)는 서로 다른 파일이다.** Damodaran</t>
        </is>
      </c>
      <c r="D19" t="inlineStr">
        <is>
          <t>시장가격 역산. 우리가 실제로 쓰는 값(wacc.xls 상단)은 `ERPbymonth.xlsx`의 페어드 계열과 일치</t>
        </is>
      </c>
    </row>
    <row r="20">
      <c r="A20" t="inlineStr">
        <is>
          <t>19</t>
        </is>
      </c>
      <c r="B20" t="inlineStr">
        <is>
          <t>ERP·분기 서베이(다른 정의)</t>
        </is>
      </c>
      <c r="C20" t="inlineStr">
        <is>
          <t>Duke CFO Survey(Graham&amp;Harvey)</t>
        </is>
      </c>
      <c r="D20" t="inlineStr">
        <is>
          <t>실무자 기대치, 시장내재와 다른 개념 — 대체재 아니라 병기용</t>
        </is>
      </c>
    </row>
    <row r="21">
      <c r="A21" t="inlineStr">
        <is>
          <t>20</t>
        </is>
      </c>
      <c r="B21" t="inlineStr">
        <is>
          <t>무위험수익률·매일 국채수익률(raw Treasury)</t>
        </is>
      </c>
      <c r="C21" t="inlineStr">
        <is>
          <t>FRED DGS10·Treasury.gov 원천</t>
        </is>
      </c>
      <c r="D21" t="inlineStr">
        <is>
          <t>🔴 **정정(1002) — STEP999의 "완전 일치" 판정은 값 층위에서 오류였다.** 999는 정의 문구("10-year Treasury bond rate")만 대조해 일치를 확인했으나, **Damodaran이 실제로 ERP와 짝지어 쓰는 값은 raw Treasury가 아니라 별도의 자체조정 "$ Riskfree Rate" 계열**임을 1001이 발견했다(`ERPbymonth.xlsx` 직접 개봉). 산식은 1003에서 확인됨 — `T.Bond rate − 해당등급 디폴트스프레드`(2025-05 Moody's 미국 신용등급 강등 대응, Damodaran 블로그 원문). 우리 저장값 3.95%는 raw Treasury(FRED·`T.Bond Rate`≈4.18%)가 아니라 "$ Riskfree Rate"(0.0395)와 정확 일치 — **정의는 같은 말을 써도 실제 계열이 다르다.** 🔴 **결론: 카테고리20(raw Treasury, FRED 포함)은 #14 슬롯의 후보 부적격.** 유일한 유효 후보는 `ERPbymonth.xlsx`의 "$ Riskfree Rate"(카테고리18 내부, 짝인 ERP와 함께) — `docs/probe_999_fred_damodaran.json`(원 판정, 정정 대상)·`docs/probe_1001_erp_pair.json`(정정 근거)</t>
        </is>
      </c>
    </row>
    <row r="22">
      <c r="A22" t="inlineStr">
        <is>
          <t>21</t>
        </is>
      </c>
      <c r="B22" t="inlineStr">
        <is>
          <t>무위험수익률·연1회 학술 스칼라</t>
        </is>
      </c>
      <c r="C22" t="inlineStr">
        <is>
          <t>Damodaran wacc.xls 상단값</t>
        </is>
      </c>
      <c r="D22" t="inlineStr">
        <is>
          <t>현재 정본이나 🔴 **실질 정체(1001) — 2026-01-05 이후 7개월+ 미갱신**(HTTP Last-Modified 실측), "연1회"라는 서술과 달리 사실상 갱신이 멈춰 있다. 🔴 **STEP999 부수발견의 정체 해소(1001)**: as_of(2026-01-05) 당일 실제 raw DGS10은 4.15~4.19%대였는데 저장값은 3.95% — 그 괴리는 "원인 미상"이 아니라 **Damodaran의 "$ Riskfree Rate" 계열이 raw Treasury와 원래 다른 숫자이기 때문**이었다(1001에서 완전 해소, 판정 불필요 상태로 전환)</t>
        </is>
      </c>
    </row>
    <row r="23">
      <c r="A23" t="inlineStr">
        <is>
          <t>22</t>
        </is>
      </c>
      <c r="B23" t="inlineStr">
        <is>
          <t>법인세율·연방 고정</t>
        </is>
      </c>
      <c r="C23" t="inlineStr">
        <is>
          <t>IRS(21%, 2018~)</t>
        </is>
      </c>
      <c r="D23" t="inlineStr">
        <is>
          <t>입법 전까지 불변</t>
        </is>
      </c>
    </row>
    <row r="24">
      <c r="A24" t="inlineStr">
        <is>
          <t>23</t>
        </is>
      </c>
      <c r="B24" t="inlineStr">
        <is>
          <t>법인세율·주별</t>
        </is>
      </c>
      <c r="C24" t="inlineStr">
        <is>
          <t>Tax Foundation(연1회, 입법과 동주기)</t>
        </is>
      </c>
      <c r="D24" t="inlineStr">
        <is>
          <t>Damodaran countrytaxrates와 별도 층위</t>
        </is>
      </c>
    </row>
    <row r="25">
      <c r="A25" t="inlineStr">
        <is>
          <t>24</t>
        </is>
      </c>
      <c r="B25" t="inlineStr">
        <is>
          <t>법인세율·업종별 실효세율</t>
        </is>
      </c>
      <c r="C25" t="inlineStr">
        <is>
          <t>Damodaran taxrate.xls</t>
        </is>
      </c>
      <c r="D25" t="inlineStr">
        <is>
          <t>현재 정본</t>
        </is>
      </c>
    </row>
    <row r="26">
      <c r="A26" t="inlineStr">
        <is>
          <t>25</t>
        </is>
      </c>
      <c r="B26" t="inlineStr">
        <is>
          <t>신용스프레드·매일 등급별</t>
        </is>
      </c>
      <c r="C26" t="inlineStr">
        <is>
          <t>FRED ICE BofA OAS(IG AAA~BBB, HY BB~CCC)</t>
        </is>
      </c>
      <c r="D26" t="inlineStr">
        <is>
          <t>🔑 R2 최대 발견. 🟡 **STEP999 대조 완료 — 부분적으로만 대응 가능**: FRED는 신용등급 문자(7개 대분류) 축, Damodaran(wacc.xls)은 **주가변동성 표준편차** 축·Damodaran(ratings.xls)은 **이자보상배율** 축 — 서로 다른 분류축. 단 두 Damodaran 파일이 **같은 마스터 스프레드표를 공유**한다는 것을 값 일치로 확인(예 0.011113=Baa2/BBB 양쪽 동일) → 간접 브릿지로 등급 역추정은 가능하나 (a)등급노치 손실(Damodaran 20여단계→FRED 7개) (b)개념차이(모델추정 vs 실제시장관측) (c)모집단차이(FRED는 실채권 거래기업만) 3중 문제로 직접 대체 불가</t>
        </is>
      </c>
    </row>
    <row r="27">
      <c r="A27" t="inlineStr">
        <is>
          <t>26</t>
        </is>
      </c>
      <c r="B27" t="inlineStr">
        <is>
          <t>신용스프레드·연1회 학술(등급→스프레드 룩업)</t>
        </is>
      </c>
      <c r="C27" t="inlineStr">
        <is>
          <t>Damodaran ratings.xls</t>
        </is>
      </c>
      <c r="D27" t="inlineStr">
        <is>
          <t>현재 정본, 종목별 부채비용 산출 가능(997 발견). 🔴 **STEP999 값대조**: 브릿지된 등급 기준 IG~하위IG는 Damodaran이 FRED보다 14~33bp 높게(보수적), 최하단(CCC)은 반대로 FRED가 129bp 더 높음(실제 시장스트레스가 모델추정보다 훨씬 넓음) — 균일 편향 아님</t>
        </is>
      </c>
    </row>
    <row r="28">
      <c r="A28" t="inlineStr">
        <is>
          <t>27</t>
        </is>
      </c>
      <c r="B28" t="inlineStr">
        <is>
          <t>배당·이벤트 캘린더</t>
        </is>
      </c>
      <c r="C28" t="inlineStr">
        <is>
          <t>나스닥 dividends calendar(현재 사용)</t>
        </is>
      </c>
      <c r="D28" t="inlineStr">
        <is>
          <t>—</t>
        </is>
      </c>
    </row>
    <row r="29">
      <c r="A29" t="inlineStr">
        <is>
          <t>28</t>
        </is>
      </c>
      <c r="B29" t="inlineStr">
        <is>
          <t>배당·개별종목 이력</t>
        </is>
      </c>
      <c r="C29" t="inlineStr">
        <is>
          <t>Tiingo·EODHD·FMP·Polygon 등 다수</t>
        </is>
      </c>
      <c r="D29" t="inlineStr">
        <is>
          <t>상용 API 대부분 보유</t>
        </is>
      </c>
    </row>
    <row r="30">
      <c r="A30" t="inlineStr">
        <is>
          <t>29</t>
        </is>
      </c>
      <c r="B30" t="inlineStr">
        <is>
          <t>상장상태/폐지위험·거래소 자체신고(공식정의)</t>
        </is>
      </c>
      <c r="C30" t="inlineStr">
        <is>
          <t>나스닥 Financial Status 플래그(997 발견, 미사용)</t>
        </is>
      </c>
      <c r="D30" t="inlineStr">
        <is>
          <t>D/E/Q 코드 공식 정의 있음</t>
        </is>
      </c>
    </row>
    <row r="31">
      <c r="A31" t="inlineStr">
        <is>
          <t>30</t>
        </is>
      </c>
      <c r="B31" t="inlineStr">
        <is>
          <t>상장상태/폐지위험·SEC 공식(구조화 검색)</t>
        </is>
      </c>
      <c r="C31" t="inlineStr">
        <is>
          <t>SEC Form 25(거래소 상장폐지)·Form 15(등록말소, R4 발견)</t>
        </is>
      </c>
      <c r="D31" t="inlineStr">
        <is>
          <t>서로 다른 시점 신호(15가 더 이를 수 있음)</t>
        </is>
      </c>
    </row>
    <row r="32">
      <c r="A32" t="inlineStr">
        <is>
          <t>31</t>
        </is>
      </c>
      <c r="B32" t="inlineStr">
        <is>
          <t>종목마스터·SEC 공식(CIK 중심)</t>
        </is>
      </c>
      <c r="C32" t="inlineStr">
        <is>
          <t>company_tickers_exchange.json(현재 정본)</t>
        </is>
      </c>
      <c r="D32" t="inlineStr">
        <is>
          <t>—</t>
        </is>
      </c>
    </row>
    <row r="33">
      <c r="A33" t="inlineStr">
        <is>
          <t>32</t>
        </is>
      </c>
      <c r="B33" t="inlineStr">
        <is>
          <t>종목마스터·거래소 심볼 디렉터리</t>
        </is>
      </c>
      <c r="C33" t="inlineStr">
        <is>
          <t>나스닥 심볼디렉터리(현재 정본)</t>
        </is>
      </c>
      <c r="D33" t="inlineStr">
        <is>
          <t>—</t>
        </is>
      </c>
    </row>
    <row r="34">
      <c r="A34" t="inlineStr">
        <is>
          <t>33</t>
        </is>
      </c>
      <c r="B34" t="inlineStr">
        <is>
          <t>종목마스터·글로벌 식별자 매핑(CIK 없음)</t>
        </is>
      </c>
      <c r="C34" t="inlineStr">
        <is>
          <t>OpenFIGI(티커/CUSIP/ISIN↔FIGI)·GLEIF(ISIN↔LEI)</t>
        </is>
      </c>
      <c r="D34" t="inlineStr">
        <is>
          <t>CIK 브릿지는 티커 조인 필요(미검증)</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0" customWidth="1" min="1" max="1"/>
    <col width="10" customWidth="1" min="2" max="2"/>
    <col width="60" customWidth="1" min="3" max="3"/>
    <col width="60" customWidth="1" min="4" max="4"/>
    <col width="24.3" customWidth="1" min="5" max="5"/>
    <col width="60" customWidth="1" min="6" max="6"/>
  </cols>
  <sheetData>
    <row r="1">
      <c r="A1" t="inlineStr">
        <is>
          <t>#</t>
        </is>
      </c>
      <c r="B1" t="inlineStr">
        <is>
          <t>슬롯</t>
        </is>
      </c>
      <c r="C1" t="inlineStr">
        <is>
          <t>지금 쓰는 소스(우선순위)</t>
        </is>
      </c>
      <c r="D1" t="inlineStr">
        <is>
          <t>자격있는 후보(카테고리#)</t>
        </is>
      </c>
      <c r="E1" t="inlineStr">
        <is>
          <t>요구정밀도</t>
        </is>
      </c>
      <c r="F1" t="inlineStr">
        <is>
          <t>검증방법</t>
        </is>
      </c>
    </row>
    <row r="2">
      <c r="A2" t="inlineStr">
        <is>
          <t>1</t>
        </is>
      </c>
      <c r="B2" t="inlineStr">
        <is>
          <t>시가총액</t>
        </is>
      </c>
      <c r="C2" t="inlineStr">
        <is>
          <t>~~Yahoo 배치조회(정본, us_market_cap)~~ → Yahoo 3단 취득(배치→개별재시도 400건/40s→7일폴백)(정본, us_market_cap. lib/lensPrecompute.ts:107-236) (1011 정정 — 코드 대조 결과 배치 1단계만 기재돼 있었음, 실제론 개별재시도·7일폴백 2단계가 더 있다)</t>
        </is>
      </c>
      <c r="D2" t="inlineStr">
        <is>
          <t>카테고리3 전부(Nasdaq스크리너 등) — 전부 계산기준 미명시라 **검증 없이 못 씀**</t>
        </is>
      </c>
      <c r="E2" t="inlineStr">
        <is>
          <t>값 자체가 답(Q1 분모)</t>
        </is>
      </c>
      <c r="F2" t="inlineStr">
        <is>
          <t>카테고리1(기말발행×종가)과 대조해야 신뢰 가능. 🔴 **단, #5(자기자본)·#6(매출)과 주식수 기준이 같아야 함(의존관계②·ⓑ) — 975 실측 PBR 8.29%·PSR 8.34% 잔차가 이 불일치 때문이었고, 프로덕션엔 아직 처방이 안 배선됨**</t>
        </is>
      </c>
    </row>
    <row r="3">
      <c r="A3" t="inlineStr">
        <is>
          <t>2</t>
        </is>
      </c>
      <c r="B3" t="inlineStr">
        <is>
          <t>발행주식수</t>
        </is>
      </c>
      <c r="C3" t="inlineStr">
        <is>
          <t>SEC XBRL 태그(역DCF), ~~Yahoo 부수값(밸류)~~ → (밸류에이션은 shares 미사용 — marketCap 직접사용, lib/valuation.ts:38-49 ValuationInputs에 shares 필드 자체가 없음) (1011 정정 — 코드 근거 없는 서술이었음. 부수 발견: us_fundamentals.source_tags에 shares 키 없음, 채택 태그명은 revdcf_results.flags.sharesTag에만 실림·604건 한정)</t>
        </is>
      </c>
      <c r="D3" t="inlineStr">
        <is>
          <t>카테고리4(SEC 정본)·5(이력, 미사용)</t>
        </is>
      </c>
      <c r="E3" t="inlineStr">
        <is>
          <t>값 자체가 답</t>
        </is>
      </c>
      <c r="F3" t="inlineStr">
        <is>
          <t>카테고리4와 직접 대조</t>
        </is>
      </c>
    </row>
    <row r="4">
      <c r="A4" t="inlineStr">
        <is>
          <t>3</t>
        </is>
      </c>
      <c r="B4" t="inlineStr">
        <is>
          <t>주가</t>
        </is>
      </c>
      <c r="C4" t="inlineStr">
        <is>
          <t>us_stock_perf(야후계열, 표시용)</t>
        </is>
      </c>
      <c r="D4" t="inlineStr">
        <is>
          <t>카테고리7·8 다수</t>
        </is>
      </c>
      <c r="E4" t="inlineStr">
        <is>
          <t>값 자체가 답(역DCF sharePrice)</t>
        </is>
      </c>
      <c r="F4" t="inlineStr">
        <is>
          <t>거래소 종가와 대조</t>
        </is>
      </c>
    </row>
    <row r="5">
      <c r="A5" t="inlineStr">
        <is>
          <t>4</t>
        </is>
      </c>
      <c r="B5" t="inlineStr">
        <is>
          <t>순이익</t>
        </is>
      </c>
      <c r="C5" t="inlineStr">
        <is>
          <t>SEC companyfacts(정본)</t>
        </is>
      </c>
      <c r="D5" t="inlineStr">
        <is>
          <t>카테고리9(edgartools 등, 같은 원문)</t>
        </is>
      </c>
      <c r="E5" t="inlineStr">
        <is>
          <t>값 자체가 답</t>
        </is>
      </c>
      <c r="F5" t="inlineStr">
        <is>
          <t>이미 원문 — 검증 불요</t>
        </is>
      </c>
    </row>
    <row r="6">
      <c r="A6" t="inlineStr">
        <is>
          <t>5</t>
        </is>
      </c>
      <c r="B6" t="inlineStr">
        <is>
          <t>자기자본(보통주)</t>
        </is>
      </c>
      <c r="C6" t="inlineStr">
        <is>
          <t>SEC companyfacts(963 정책)</t>
        </is>
      </c>
      <c r="D6" t="inlineStr">
        <is>
          <t>카테고리9</t>
        </is>
      </c>
      <c r="E6" t="inlineStr">
        <is>
          <t>값 자체가 답</t>
        </is>
      </c>
      <c r="F6" t="inlineStr">
        <is>
          <t>원문</t>
        </is>
      </c>
    </row>
    <row r="7">
      <c r="A7" t="inlineStr">
        <is>
          <t>6</t>
        </is>
      </c>
      <c r="B7" t="inlineStr">
        <is>
          <t>매출</t>
        </is>
      </c>
      <c r="C7" t="inlineStr">
        <is>
          <t>SEC companyfacts</t>
        </is>
      </c>
      <c r="D7" t="inlineStr">
        <is>
          <t>카테고리9</t>
        </is>
      </c>
      <c r="E7" t="inlineStr">
        <is>
          <t>값 자체가 답</t>
        </is>
      </c>
      <c r="F7" t="inlineStr">
        <is>
          <t>원문</t>
        </is>
      </c>
    </row>
    <row r="8">
      <c r="A8" t="inlineStr">
        <is>
          <t>7</t>
        </is>
      </c>
      <c r="B8" t="inlineStr">
        <is>
          <t>영업이익</t>
        </is>
      </c>
      <c r="C8" t="inlineStr">
        <is>
          <t>SEC companyfacts(폴백 포함)</t>
        </is>
      </c>
      <c r="D8" t="inlineStr">
        <is>
          <t>카테고리9</t>
        </is>
      </c>
      <c r="E8" t="inlineStr">
        <is>
          <t>값 자체가 답</t>
        </is>
      </c>
      <c r="F8" t="inlineStr">
        <is>
          <t>원문</t>
        </is>
      </c>
    </row>
    <row r="9">
      <c r="A9" t="inlineStr">
        <is>
          <t>8</t>
        </is>
      </c>
      <c r="B9" t="inlineStr">
        <is>
          <t>D&amp;A</t>
        </is>
      </c>
      <c r="C9" t="inlineStr">
        <is>
          <t>SEC companyfacts</t>
        </is>
      </c>
      <c r="D9" t="inlineStr">
        <is>
          <t>카테고리9</t>
        </is>
      </c>
      <c r="E9" t="inlineStr">
        <is>
          <t>값 자체가 답</t>
        </is>
      </c>
      <c r="F9" t="inlineStr">
        <is>
          <t>원문</t>
        </is>
      </c>
    </row>
    <row r="10">
      <c r="A10" t="inlineStr">
        <is>
          <t>9</t>
        </is>
      </c>
      <c r="B10" t="inlineStr">
        <is>
          <t>부채</t>
        </is>
      </c>
      <c r="C10" t="inlineStr">
        <is>
          <t>SEC companyfacts(969 3분류)</t>
        </is>
      </c>
      <c r="D10" t="inlineStr">
        <is>
          <t>카테고리9</t>
        </is>
      </c>
      <c r="E10" t="inlineStr">
        <is>
          <t>값 자체가 답</t>
        </is>
      </c>
      <c r="F10" t="inlineStr">
        <is>
          <t>원문</t>
        </is>
      </c>
    </row>
    <row r="11">
      <c r="A11" t="inlineStr">
        <is>
          <t>10</t>
        </is>
      </c>
      <c r="B11" t="inlineStr">
        <is>
          <t>비영업자산/현금</t>
        </is>
      </c>
      <c r="C11" t="inlineStr">
        <is>
          <t>SEC companyfacts</t>
        </is>
      </c>
      <c r="D11" t="inlineStr">
        <is>
          <t>카테고리9</t>
        </is>
      </c>
      <c r="E11" t="inlineStr">
        <is>
          <t>값 자체가 답</t>
        </is>
      </c>
      <c r="F11" t="inlineStr">
        <is>
          <t>원문</t>
        </is>
      </c>
    </row>
    <row r="12">
      <c r="A12" t="inlineStr">
        <is>
          <t>11</t>
        </is>
      </c>
      <c r="B12" t="inlineStr">
        <is>
          <t>세율</t>
        </is>
      </c>
      <c r="C12" t="inlineStr">
        <is>
          <t>Damodaran countrytaxrates(한계세율, US행)</t>
        </is>
      </c>
      <c r="D12" t="inlineStr">
        <is>
          <t>카테고리22(IRS 연방)·23(주별)·24(업종실효)</t>
        </is>
      </c>
      <c r="E12" t="inlineStr">
        <is>
          <t>**순위만 필요할 수 있음**(WACC 구성요소)</t>
        </is>
      </c>
      <c r="F12" t="inlineStr">
        <is>
          <t>IRS 21%와 국가한계세율 정합 대조</t>
        </is>
      </c>
    </row>
    <row r="13">
      <c r="A13" t="inlineStr">
        <is>
          <t>12</t>
        </is>
      </c>
      <c r="B13" t="inlineStr">
        <is>
          <t>자본지출률</t>
        </is>
      </c>
      <c r="C13" t="inlineStr">
        <is>
          <t>원전 T5 방식(내부 계산)</t>
        </is>
      </c>
      <c r="D13" t="inlineStr">
        <is>
          <t>🔴 **후보 1개뿐**(원전 계산 방식 자체가 유일 정의, 외부 소스 대체 불가)</t>
        </is>
      </c>
      <c r="E13" t="inlineStr">
        <is>
          <t>값 자체가 답</t>
        </is>
      </c>
      <c r="F13" t="inlineStr">
        <is>
          <t>원전 대조표</t>
        </is>
      </c>
    </row>
    <row r="14">
      <c r="A14" t="inlineStr">
        <is>
          <t>13</t>
        </is>
      </c>
      <c r="B14" t="inlineStr">
        <is>
          <t>운전자본률</t>
        </is>
      </c>
      <c r="C14" t="inlineStr">
        <is>
          <t>원전 T4 방식(내부 계산)</t>
        </is>
      </c>
      <c r="D14" t="inlineStr">
        <is>
          <t>🔴 **후보 1개뿐**(동일 사유)</t>
        </is>
      </c>
      <c r="E14" t="inlineStr">
        <is>
          <t>값 자체가 답</t>
        </is>
      </c>
      <c r="F14" t="inlineStr">
        <is>
          <t>원전 대조표</t>
        </is>
      </c>
    </row>
    <row r="15">
      <c r="A15" t="inlineStr">
        <is>
          <t>14</t>
        </is>
      </c>
      <c r="B15" t="inlineStr">
        <is>
          <t>무위험수익률</t>
        </is>
      </c>
      <c r="C15" t="inlineStr">
        <is>
          <t>~~Damodaran wacc.xls 상단값(연1회라 서술되나 실질 정체 7개월+)~~ → Damodaran ERPbymonth.xlsx "$ Riskfree Rate"열(월1회, STEP1005가 새 행 as_of=2026-08-01 적재 — damodaran_global_inputs가 이제 2행이고 latestAsOf()가 항상 최신행을 골라 이 값이 프로덕션에서 실제로 쓰이는 중. wacc.xls 유래 구행[as_of=2026-01-05]은 테이블에 남아있으나 더 이상 안 읽힘) (1011 정정 — 카탈로그가 아직 옛 소스로 적혀 있던 것을 STEP1011이 최초로 코드 대조로 발견)</t>
        </is>
      </c>
      <c r="D15" t="inlineStr">
        <is>
          <t>🔴 **카테고리20(FRED/Treasury raw) = 부적격, 정정(1002).** 짝 제약(의존관계①·ⓐ) 때문만이 아니다 — **raw Treasury 자체가 Damodaran이 실제로 쓰는 "$ Riskfree Rate" 계열과 다른 숫자**임을 1001이 확인했다(999의 "완전 일치"는 정의 문구만 대조한 오판, 카테고리20 참조). 짝을 맞춰 FRED를 쓰더라도 짝지을 ERP 자체가 "$ Riskfree Rate" 기준으로 산출된 값이라 FRED와는 애초에 안 맞는다. **유일한 유효 후보 = `ERPbymonth.xlsx`의 "$ Riskfree Rate"열**(카테고리18 내부, 짝인 ERP와 함께, 1001 발견)</t>
        </is>
      </c>
      <c r="E15" t="inlineStr">
        <is>
          <t>값 자체가 답(WACC)</t>
        </is>
      </c>
      <c r="F15" t="inlineStr">
        <is>
          <t>`ERPbymonth.xlsx` 최신행과 함께 재계산해 대조(FRED 단독 대조는 애초에 무의미)</t>
        </is>
      </c>
    </row>
    <row r="16">
      <c r="A16" t="inlineStr">
        <is>
          <t>15</t>
        </is>
      </c>
      <c r="B16" t="inlineStr">
        <is>
          <t>ERP</t>
        </is>
      </c>
      <c r="C16" t="inlineStr">
        <is>
          <t>~~Damodaran wacc.xls 상단값(연1회, 사실상 정체 7개월+)~~ → Damodaran ERPbymonth.xlsx "ERP(T12m) with adj riskfree rate"열(#14와 같은 행에서 짝으로 옴, as_of=2026-08-01 활성) (1011 정정 — #14와 동일 사유)</t>
        </is>
      </c>
      <c r="D16" t="inlineStr">
        <is>
          <t>🔴 **단, #14(무위험수익률)와 함께 바꿔야 함(의존관계①·ⓐ짝제약).** 카테고리19(Duke서베이, 분기·다른정의)는 병기용(대체 아님). 유효 후보 = `ERPbymonth.xlsx`(#14와 짝, 1001 발견)</t>
        </is>
      </c>
      <c r="E16" t="inlineStr">
        <is>
          <t>값 자체가 답(WACC)</t>
        </is>
      </c>
      <c r="F16" t="inlineStr">
        <is>
          <t>#14와 함께 재계산해 대조</t>
        </is>
      </c>
    </row>
    <row r="17">
      <c r="A17" t="inlineStr">
        <is>
          <t>16</t>
        </is>
      </c>
      <c r="B17" t="inlineStr">
        <is>
          <t>베타</t>
        </is>
      </c>
      <c r="C17" t="inlineStr">
        <is>
          <t>Damodaran betas.xls(업종, 연1회)</t>
        </is>
      </c>
      <c r="D17" t="inlineStr">
        <is>
          <t>🔴 **후보 1개뿐(실질적 단일=진짜 SPOF, R1~R4 전체에서 무료 대체 못 찾음).** 🔴 **단, #11(세율)과 releveraging 시 세율 불일치 가능성(의존관계③·ⓑ, 0.63%p, 미측정)**</t>
        </is>
      </c>
      <c r="E17" t="inlineStr">
        <is>
          <t>값 자체가 답이나 업종 대표값이라 개별종목은 근사</t>
        </is>
      </c>
      <c r="F17" t="inlineStr">
        <is>
          <t>대체 소스 없어 검증 불가(원전 신뢰 외 방법 없음)</t>
        </is>
      </c>
    </row>
    <row r="18">
      <c r="A18" t="inlineStr">
        <is>
          <t>17</t>
        </is>
      </c>
      <c r="B18" t="inlineStr">
        <is>
          <t>신용스프레드</t>
        </is>
      </c>
      <c r="C18" t="inlineStr">
        <is>
          <t>Damodaran ratings.xls/wacc.xls(연1회)</t>
        </is>
      </c>
      <c r="D18" t="inlineStr">
        <is>
          <t>**카테고리25(FRED ICE BofA OAS, 매일)** — 🔑 최대 발견, 갱신빈도 개선 후보(999: 부분적만 가능). 🔴 **단, #14/#15와 같은 as_of 배치에서 갱신되고 있음(의존관계⑤·ⓒ) — #14/#15만 더 자주 갱신하면 as_of가 갈라짐**</t>
        </is>
      </c>
      <c r="E18" t="inlineStr">
        <is>
          <t>값 자체가 답(부채비용)</t>
        </is>
      </c>
      <c r="F18" t="inlineStr">
        <is>
          <t>FRED와 등급별 직접 대조</t>
        </is>
      </c>
    </row>
    <row r="19">
      <c r="A19" t="inlineStr">
        <is>
          <t>18</t>
        </is>
      </c>
      <c r="B19" t="inlineStr">
        <is>
          <t>섹터분류</t>
        </is>
      </c>
      <c r="C19" t="inlineStr">
        <is>
          <t>resolveSector() 0~4순위(SPDR→Damodaran→형제→야후→미분류) — 추가: us_sector_wide는 새 as_of를 안 만들고 기존 as_of(현재 2026-08-08)에 신규 심볼만 append(STEP974 방식ⓐ, route.ts:116-148) (1011 정정 — 알고리즘명은 정확했으나 갱신방식이 누락돼 있었음)</t>
        </is>
      </c>
      <c r="D19" t="inlineStr">
        <is>
          <t>카테고리14(비GICS 다수) 전부 이미 후보에 포함됨</t>
        </is>
      </c>
      <c r="E19" t="inlineStr">
        <is>
          <t>**순위/그룹핑만 필요**(업종 대비용)</t>
        </is>
      </c>
      <c r="F19" t="inlineStr">
        <is>
          <t>기존 3중 대조 체계 유지</t>
        </is>
      </c>
    </row>
    <row r="20">
      <c r="A20" t="inlineStr">
        <is>
          <t>19</t>
        </is>
      </c>
      <c r="B20" t="inlineStr">
        <is>
          <t>업종배수</t>
        </is>
      </c>
      <c r="C20" t="inlineStr">
        <is>
          <t>🔴 **정정(1002) — 비어 있다.** 998이 "Damodaran pedata/pbvdata/psdata/vebitda(연1회)"라 적었으나 코드 확인 결과(`lib/valuation.ts`·`lib/revdcf/drivers.ts`) 이 파일들은 **정의 근거 주석으로만 인용**되고 실제 데이터로 ingest되지 않는다. 실제 업종 배수는 STEP980 `sectorMedianRelative()`가 **우리 자신의 유니버스 값을 섹터별로 묶어 자체 계산**한다(외부 배수 벤치마크 없음)</t>
        </is>
      </c>
      <c r="D20" t="inlineStr">
        <is>
          <t>카테고리16(Siblis 등, 반기) — 자체계산과의 교차검증 후보로만 유효</t>
        </is>
      </c>
      <c r="E20" t="inlineStr">
        <is>
          <t>순위/비교만 필요(업종 대비 분자)</t>
        </is>
      </c>
      <c r="F20" t="inlineStr">
        <is>
          <t>미검증(외부 배수와 대조된 적 없음)</t>
        </is>
      </c>
    </row>
    <row r="21">
      <c r="A21" t="inlineStr">
        <is>
          <t>20</t>
        </is>
      </c>
      <c r="B21" t="inlineStr">
        <is>
          <t>업종베타</t>
        </is>
      </c>
      <c r="C21" t="inlineStr">
        <is>
          <t>🔴 **정정(1002) — #16과 동일 슬롯이다, 별도 항목 아니다.** `app/api/cron/revdcf/route.ts:183,267`을 코드로 확인 — `damodaran_beta.unlevered_beta_cash_adj`가 유일한 beta 소스이고, 쓰는 곳도 `releveredBeta` 계산 단 한 곳뿐이다. #16과 #20은 998이 같은 값을 두 슬롯으로 중복 등재한 카탈로그 오류였다</t>
        </is>
      </c>
      <c r="D21" t="inlineStr">
        <is>
          <t>(해당없음 — #16 참조)</t>
        </is>
      </c>
      <c r="E21" t="inlineStr">
        <is>
          <t>(해당없음)</t>
        </is>
      </c>
      <c r="F21" t="inlineStr">
        <is>
          <t>(해당없음)</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8.9" customWidth="1" min="1" max="1"/>
    <col width="17.1" customWidth="1" min="2" max="2"/>
    <col width="60" customWidth="1" min="3" max="3"/>
    <col width="60" customWidth="1" min="4" max="4"/>
  </cols>
  <sheetData>
    <row r="1">
      <c r="A1" t="inlineStr">
        <is>
          <t>유형</t>
        </is>
      </c>
      <c r="B1" t="inlineStr">
        <is>
          <t>슬롯</t>
        </is>
      </c>
      <c r="C1" t="inlineStr">
        <is>
          <t>판정</t>
        </is>
      </c>
      <c r="D1" t="inlineStr">
        <is>
          <t>근거</t>
        </is>
      </c>
    </row>
    <row r="2">
      <c r="A2" t="inlineStr">
        <is>
          <t>**원리적 단일**(취약점 아님)</t>
        </is>
      </c>
      <c r="B2" t="inlineStr">
        <is>
          <t>#12 자본지출률</t>
        </is>
      </c>
      <c r="C2" t="inlineStr">
        <is>
          <t>대체 소스가 "없는" 게 아니라 **개념 자체가 우리 계산법(원전 T5 방식)으로만 정의됨** — 시장에 발행되는 데이터가 아니라 우리가 산출하는 값이라 "대체 소스"라는 질문 자체가 성립하지 않는다</t>
        </is>
      </c>
      <c r="D2" t="inlineStr">
        <is>
          <t>원전(Expectations Investing) 계산방식이 정의 그 자체</t>
        </is>
      </c>
    </row>
    <row r="3">
      <c r="A3" t="inlineStr">
        <is>
          <t>**원리적 단일**(취약점 아님)</t>
        </is>
      </c>
      <c r="B3" t="inlineStr">
        <is>
          <t>#13 운전자본률</t>
        </is>
      </c>
      <c r="C3" t="inlineStr">
        <is>
          <t>위와 동일 사유(원전 T4 방식)</t>
        </is>
      </c>
      <c r="D3" t="inlineStr">
        <is>
          <t>위와 동일</t>
        </is>
      </c>
    </row>
    <row r="4">
      <c r="A4" t="inlineStr">
        <is>
          <t>**실질적 단일**(🔴 진짜 SPOF)</t>
        </is>
      </c>
      <c r="B4" t="inlineStr">
        <is>
          <t>#16 베타(≡구 #20 업종베타)</t>
        </is>
      </c>
      <c r="C4" t="inlineStr">
        <is>
          <t>시장에 "업종별 무차입 베타"를 발행하는 무료 기관이 92개 소스 전수조사(997+998, R1~R4)에서도 **하나도 안 나왔다** — 대체재가 있을 법한데 못 찾은 경우</t>
        </is>
      </c>
      <c r="D4" t="inlineStr">
        <is>
          <t>Damodaran `betas.xls`가 연1회 갱신을 멈추거나 접근이 막히면 역DCF WACC 전체가 계산 불가 (999·STATE.md 68번 기존 등재와 동일 결론, 1002가 정확한 개수로 재확인)</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0" customWidth="1" min="1" max="1"/>
    <col width="21.6" customWidth="1" min="2" max="2"/>
    <col width="60" customWidth="1" min="3" max="3"/>
    <col width="60" customWidth="1" min="4" max="4"/>
    <col width="60" customWidth="1" min="5" max="5"/>
  </cols>
  <sheetData>
    <row r="1">
      <c r="A1" t="inlineStr">
        <is>
          <t>#</t>
        </is>
      </c>
      <c r="B1" t="inlineStr">
        <is>
          <t>묶이는 슬롯</t>
        </is>
      </c>
      <c r="C1" t="inlineStr">
        <is>
          <t>왜 묶이는가(원전 근거)</t>
        </is>
      </c>
      <c r="D1" t="inlineStr">
        <is>
          <t>한쪽만 바꾸면</t>
        </is>
      </c>
      <c r="E1" t="inlineStr">
        <is>
          <t>실측 근거</t>
        </is>
      </c>
    </row>
    <row r="2">
      <c r="A2" t="inlineStr">
        <is>
          <t>1</t>
        </is>
      </c>
      <c r="B2" t="inlineStr">
        <is>
          <t>**#14 무위험수익률 ↔ #15 ERP**</t>
        </is>
      </c>
      <c r="C2" t="inlineStr">
        <is>
          <t>Damodaran의 내재 ERP는 그의 riskfree 가정으로 **역산**된 값 — 원전 명시: *"The riskfree rate chosen in computing the premium has to be consistent with the riskfree rate used to compute expected returns... Using equity risk premiums that are very different from the implied premium will introduce a market view into individual company valuations"*(ERP2022Formatted.pdf, 1001 확인)</t>
        </is>
      </c>
      <c r="D2" t="inlineStr">
        <is>
          <t>`Ke=rf+β×ERP`가 서로 다른 시점의 시장가정을 섞는다 — 999·1000이 이 제약을 놓치고 rf만 FRED로 교체하려다 1001에서 철회됨</t>
        </is>
      </c>
      <c r="E2" t="inlineStr">
        <is>
          <t>**1001 실측**: rf만 교체(mismatched)=카테고리전환 6.4%(28/440) vs rf·ERP 짝으로 교체(paired)=5.9%(26/440) — 짝을 깨면 인위적으로 더 큰 변화가 나온다는 것을 604전수로 확인</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0" customWidth="1" min="1" max="1"/>
    <col width="39.6" customWidth="1" min="2" max="2"/>
    <col width="60" customWidth="1" min="3" max="3"/>
    <col width="60" customWidth="1" min="4" max="4"/>
    <col width="60" customWidth="1" min="5" max="5"/>
  </cols>
  <sheetData>
    <row r="1">
      <c r="A1" t="inlineStr">
        <is>
          <t>#</t>
        </is>
      </c>
      <c r="B1" t="inlineStr">
        <is>
          <t>묶이는 슬롯</t>
        </is>
      </c>
      <c r="C1" t="inlineStr">
        <is>
          <t>왜 묶이는가</t>
        </is>
      </c>
      <c r="D1" t="inlineStr">
        <is>
          <t>한쪽만 바꾸면</t>
        </is>
      </c>
      <c r="E1" t="inlineStr">
        <is>
          <t>실측 근거</t>
        </is>
      </c>
    </row>
    <row r="2">
      <c r="A2" t="inlineStr">
        <is>
          <t>2</t>
        </is>
      </c>
      <c r="B2" t="inlineStr">
        <is>
          <t>**#1 시가총액(분자) ↔ #5 자기자본·#6 매출(분모, PBR·PSR)**</t>
        </is>
      </c>
      <c r="C2" t="inlineStr">
        <is>
          <t>시가총액의 주식수 기준과 재무제표 배수 계산에 쓰이는 주식수 기준이 다르면 비율이 어긋난다</t>
        </is>
      </c>
      <c r="D2" t="inlineStr">
        <is>
          <t>PBR·PSR이 실제 오차가 아닌 "기준 불일치"로 왜곡된다</t>
        </is>
      </c>
      <c r="E2" t="inlineStr">
        <is>
          <t>**975 실측**: 기말발행주식수로 재구성 시 PBR 8.29%→0.053%·PSR 8.34%→0.112%로 수렴(13~14종목). 🔴 **이 수정은 975의 진단용 재구성에만 적용됐고, 프로덕션 `us_valuation`(Yahoo `us_market_cap`÷SEC 자기자본·매출)은 여전히 원래 기준 그대로다 — 잔차는 프로덕션에 남아 있을 가능성이 높다(미검증)**</t>
        </is>
      </c>
    </row>
    <row r="3">
      <c r="A3" t="inlineStr">
        <is>
          <t>3</t>
        </is>
      </c>
      <c r="B3" t="inlineStr">
        <is>
          <t>**#11 세율 ↔ #16 베타**</t>
        </is>
      </c>
      <c r="C3" t="inlineStr">
        <is>
          <t>Damodaran의 unlevered beta는 그가 `betas.xls`에서 가정한 세율(약 25.00%, `wacc.xls` 입력값과 동일 반올림값)로 이미 **unlever된** 값이다. 우리는 이를 **다른 세율**(`countrytaxrates.xls` 25.63%)로 **relever**한다(`releveredBeta = unleveredBetaCashAdj×(1+(1−taxRate)×D/E)`)</t>
        </is>
      </c>
      <c r="D3" t="inlineStr">
        <is>
          <t>unlever에 쓰인 세율과 relever에 쓰이는 세율이 미세하게 어긋난다(25.00% vs 25.63%, 0.63%p)</t>
        </is>
      </c>
      <c r="E3" t="inlineStr">
        <is>
          <t>🔴 **미측정 — 이번 STEP 범위 밖(개별 실행 금지 규칙).** `data/sources/README.md`에 "알려진 내부 불일치"로 이미 기록돼 있었으나(2026-08-01), 그 기록은 "어느 세율을 쓸지"만 판정했고(25.63% 채택, REVDCF_SPEC.md:1769 "해소") 이 **releveraging 방향의 불일치**는 별도로 다뤄진 적이 없다. 0.63%p라 영향은 작을 것으로 추정되나 실측 없음</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10" customWidth="1" min="1" max="1"/>
    <col width="33.3" customWidth="1" min="2" max="2"/>
    <col width="60" customWidth="1" min="3" max="3"/>
    <col width="60" customWidth="1" min="4" max="4"/>
    <col width="60" customWidth="1" min="5" max="5"/>
  </cols>
  <sheetData>
    <row r="1">
      <c r="A1" t="inlineStr">
        <is>
          <t>#</t>
        </is>
      </c>
      <c r="B1" t="inlineStr">
        <is>
          <t>묶이는 슬롯</t>
        </is>
      </c>
      <c r="C1" t="inlineStr">
        <is>
          <t>왜 묶이는가</t>
        </is>
      </c>
      <c r="D1" t="inlineStr">
        <is>
          <t>한쪽만 바꾸면</t>
        </is>
      </c>
      <c r="E1" t="inlineStr">
        <is>
          <t>실측 근거</t>
        </is>
      </c>
    </row>
    <row r="2">
      <c r="A2" t="inlineStr">
        <is>
          <t>4</t>
        </is>
      </c>
      <c r="B2" t="inlineStr">
        <is>
          <t>**#1 시가총액(오늘) ↔ #4~10 재무제표(최근 제출연도)**</t>
        </is>
      </c>
      <c r="C2" t="inlineStr">
        <is>
          <t>분자(시총, 매일 갱신)와 분모(재무제표, 연 1~4회 제출)의 시점이 근본적으로 다르다 — TTM/FY 시점차</t>
        </is>
      </c>
      <c r="D2" t="inlineStr">
        <is>
          <t>밸류에이션 배수가 시점 불일치만큼 흔들린다</t>
        </is>
      </c>
      <c r="E2" t="inlineStr">
        <is>
          <t>**981 실측**: 상위20 괴리 원인분류 중 TTM/FY 시점차 **10건**(SEC companyfacts 로컬캐시로 정량 부합 확인)</t>
        </is>
      </c>
    </row>
    <row r="3">
      <c r="A3" t="inlineStr">
        <is>
          <t>5</t>
        </is>
      </c>
      <c r="B3" t="inlineStr">
        <is>
          <t>**#14/#15 무위험수익률·ERP ↔ #17 신용스프레드**</t>
        </is>
      </c>
      <c r="C3" t="inlineStr">
        <is>
          <t>우리 `damodaran_global_inputs`(rf·ERP)와 `damodaran_credit_spread`(신용스프레드)는 지금 **같은 배치 실행(같은 `as_of`)에서 함께 채워진다** — 둘 다 `as_of=2026-01-05`(1002 직접 조회로 확인, DB SELECT)</t>
        </is>
      </c>
      <c r="D3" t="inlineStr">
        <is>
          <t>rf·ERP만 독립적으로(예: 1001의 월간 ERPbymonth.xlsx로) 더 자주 갱신하면 신용스프레드는 예전 시점에 머물러 as_of가 갈라진다. 신용스프레드 자체가 rf에서 역산되는 값은 아니므로(ⓐ와 달리 산술적 모순은 아니다) — **모순은 아니지만 시장조건 정합성이 약해진다**</t>
        </is>
      </c>
      <c r="E3" t="inlineStr">
        <is>
          <t>실측 없음(이번 STEP은 조사만, 아래 시나리오가 아직 발생하지 않았음 — 1001의 C안이 배선되면 처음 생기는 문제)</t>
        </is>
      </c>
    </row>
    <row r="4">
      <c r="A4" t="inlineStr">
        <is>
          <t>6</t>
        </is>
      </c>
      <c r="B4" t="inlineStr">
        <is>
          <t>**#18 섹터분류(정지 가능) ↔ #1/#4~10**</t>
        </is>
      </c>
      <c r="C4" t="inlineStr">
        <is>
          <t>업종 대비 계산은 종목의 섹터가 최신이어야 정확하다(신규 상장·섹터 재분류 반영)</t>
        </is>
      </c>
      <c r="D4" t="inlineStr">
        <is>
          <t>973/974에서 실측된 것처럼 섹터 배선이 멈추면 신규 종목이 계속 `NO_SECTOR`로 남는다</t>
        </is>
      </c>
      <c r="E4" t="inlineStr">
        <is>
          <t>**973·974 실측**: 08-09 신규 40종목/일 미부착, 크론 배선(974)으로 해소. 섹터 자체가 거의 안 변해 **약한 제약**(973/974가 이미 처방 완료 상태)</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5.2" customWidth="1" min="1" max="1"/>
    <col width="60" customWidth="1" min="2" max="2"/>
  </cols>
  <sheetData>
    <row r="1">
      <c r="A1" t="inlineStr">
        <is>
          <t>후보</t>
        </is>
      </c>
      <c r="B1" t="inlineStr">
        <is>
          <t>검사 결과</t>
        </is>
      </c>
    </row>
    <row r="2">
      <c r="A2" t="inlineStr">
        <is>
          <t>#14 무위험수익률 ↔ #17 신용스프레드</t>
        </is>
      </c>
      <c r="B2" t="inlineStr">
        <is>
          <t>**ⓐ 짝 제약 아님.** Damodaran의 신용스프레드 룩업표(이자보상배율→스프레드)는 rf로부터 산술적으로 역산되는 값이 아니라, 관측된 회사채 스프레드를 등급대별로 별도 집계한 것(atCoD 공식에서 rf에 **더해지는** 항이지 rf에서 **파생되는** 항이 아님). ⓒ(시점) 제약은 있음(위 5번)</t>
        </is>
      </c>
    </row>
    <row r="3">
      <c r="A3" t="inlineStr">
        <is>
          <t>#12/#13(자본지출률·운전자본률) ↔ #6 매출</t>
        </is>
      </c>
      <c r="B3" t="inlineStr">
        <is>
          <t>원전 공식상 `fixedCapitalRate`·`workingCapitalRate`는 매출 대비 비율로 정의되므로 매출과 함께 움직이는 것은 **당연한 산식 구조**이지 별도 소스 간 "짝 제약"이 아니다(같은 소스·같은 계산식 내부 관계라 이 절의 대상이 아니다)</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5" customWidth="1" min="1" max="1"/>
    <col width="44.1" customWidth="1" min="2" max="2"/>
    <col width="19.8" customWidth="1" min="3" max="3"/>
    <col width="60" customWidth="1" min="4" max="4"/>
    <col width="60" customWidth="1" min="5" max="5"/>
    <col width="10" customWidth="1" min="6" max="6"/>
    <col width="45.9" customWidth="1" min="7" max="7"/>
    <col width="13.5" customWidth="1" min="8" max="8"/>
  </cols>
  <sheetData>
    <row r="1">
      <c r="A1" t="inlineStr">
        <is>
          <t>#</t>
        </is>
      </c>
      <c r="B1" t="inlineStr">
        <is>
          <t>발견</t>
        </is>
      </c>
      <c r="C1" t="inlineStr">
        <is>
          <t>어느 슬롯</t>
        </is>
      </c>
      <c r="D1" t="inlineStr">
        <is>
          <t>예상 이득</t>
        </is>
      </c>
      <c r="E1" t="inlineStr">
        <is>
          <t>선결 조건(의존관계 포함)</t>
        </is>
      </c>
      <c r="F1" t="inlineStr">
        <is>
          <t>실행 난이도</t>
        </is>
      </c>
      <c r="G1" t="inlineStr">
        <is>
          <t>라이브 영향</t>
        </is>
      </c>
      <c r="H1" t="inlineStr">
        <is>
          <t>승인 필요</t>
        </is>
      </c>
    </row>
    <row r="2">
      <c r="A2" t="inlineStr">
        <is>
          <t>**1(1001, 최우선 — 장은태 지시)**</t>
        </is>
      </c>
      <c r="B2" t="inlineStr">
        <is>
          <t>🔑 **Damodaran `ERPbymonth.xlsx` 월간 rf·ERP 페어 도입**</t>
        </is>
      </c>
      <c r="C2" t="inlineStr">
        <is>
          <t>**riskfree + ERP(짝)**</t>
        </is>
      </c>
      <c r="D2" t="inlineStr">
        <is>
          <t>**7개월 정체 → 월 1회 갱신**</t>
        </is>
      </c>
      <c r="E2" t="inlineStr">
        <is>
          <t>🟢 **상태(1005): 적재 완료·크론 반영 대기.** `scripts/ingest_erp_monthly.ts`로 `damodaran_global_inputs`에 새 행(as_of=2026-08-01) INSERT 완료 — 기존 행 지문 불변 확인, 새 행 rf·erp 정확 일치. **헤드라인 검증 — 실제 프로덕션 2행 상태에서 `latestAsOf()`가 새 행을 정확히 고름을 확인**(1004 수정의 첫 실전 검증). rf·erp는 ERPbymonth(2026-08) 유래, `global_default_spread`·`marginal_tax_rate_used`·`expected_inflation`은 wacc.xls(2026-01-05) 그대로 복사(한 행 안에서 출처 혼재, 기록방식은 문서화만 — 옵션A 컬럼추가는 보류·재고권고). 다음 정규크론이 `revdcf_results` 26건 verdict 변경 반영 예정(단 `revdcfEnabled()` 기본OFF라 화면 노출은 별개 승인)</t>
        </is>
      </c>
      <c r="F2" t="inlineStr">
        <is>
          <t>중</t>
        </is>
      </c>
      <c r="G2" t="inlineStr">
        <is>
          <t>**카테고리 전환 5.9%(26/440) 재확인**(1005, 라이브 로드값 그대로 재계산)</t>
        </is>
      </c>
      <c r="H2" t="inlineStr">
        <is>
          <t>**예(배포 승인 대기)**</t>
        </is>
      </c>
    </row>
    <row r="3">
      <c r="A3" t="inlineStr">
        <is>
          <t>2(997)</t>
        </is>
      </c>
      <c r="B3" t="inlineStr">
        <is>
          <t>Yahoo/Nasdaq 시총 대체경로</t>
        </is>
      </c>
      <c r="C3" t="inlineStr">
        <is>
          <t>#1 시가총액</t>
        </is>
      </c>
      <c r="D3" t="inlineStr">
        <is>
          <t>미해결14번(LOCAL_OK_PROD_FAIL) 우회 가능성</t>
        </is>
      </c>
      <c r="E3" t="inlineStr">
        <is>
          <t>계산기준 검증(카테고리1·2·3 구분) 먼저 + 의존관계#2(자기자본·매출과 같은 주식수 기준이어야 함) | STEP1012 실측(2026-08-13): quoteSummary(후보2)는 STEP1010이 0/284로 사망 처리. Nasdaq(후보1) 환경차이 커버리지 73.2%(208/284), 배선시 예상 (5601+208)/5973=97.25%로 게이트 통과 가능. 단 겹치는 208건 중 13.5~20.2%가 야후값과 20%초과 차이(보정전/후), $0.3B~2B구간 22~31%로 소형중형주 정의불일치 위험 큼. 재수집 스크립트(ingest_us_sector.ts)는 존재하나 로컬 스냅샷만 읽음(라이브fetch로 바꿔야 매일갱신). 상세=docs/probe_1012_nasdaq_marketcap.md | STEP1013(2026-08-13) 매일갱신 배선됨: lib/nasdaqMarketCap.ts(라이브취득) + us_market_cap_nasdaq(신규테이블, us_market_cap과 완전별도) + app/api/cron/us-perf/route.ts(22:00 UTC 부속, try/catch 완전격리). 이 STEP은 재수집만 — us_market_cap·게이트에는 아직 안섞임(폴백배선은 장은태판정 이후). D-1지연 주의(lens-scores 21:30 UTC가 먼저 돎). 상세=docs/probe_1013_nasdaq_ingest.md</t>
        </is>
      </c>
      <c r="F3" t="inlineStr">
        <is>
          <t>중</t>
        </is>
      </c>
      <c r="G3" t="inlineStr">
        <is>
          <t>있음(us_market_cap)</t>
        </is>
      </c>
      <c r="H3" t="inlineStr">
        <is>
          <t>필요</t>
        </is>
      </c>
    </row>
    <row r="4">
      <c r="A4" t="inlineStr">
        <is>
          <t>3(997)</t>
        </is>
      </c>
      <c r="B4" t="inlineStr">
        <is>
          <t>Damodaran `ratings.xls`(종목별 부채비용)</t>
        </is>
      </c>
      <c r="C4" t="inlineStr">
        <is>
          <t>#17 신용스프레드</t>
        </is>
      </c>
      <c r="D4" t="inlineStr">
        <is>
          <t>업종평균 대신 종목별 이자보상배율 기반 부채비용</t>
        </is>
      </c>
      <c r="E4" t="inlineStr">
        <is>
          <t>원전대조표</t>
        </is>
      </c>
      <c r="F4" t="inlineStr">
        <is>
          <t>중</t>
        </is>
      </c>
      <c r="G4" t="inlineStr">
        <is>
          <t>있음(WACC)</t>
        </is>
      </c>
      <c r="H4" t="inlineStr">
        <is>
          <t>필요</t>
        </is>
      </c>
    </row>
    <row r="5">
      <c r="A5" t="inlineStr">
        <is>
          <t>4(997)</t>
        </is>
      </c>
      <c r="B5" t="inlineStr">
        <is>
          <t>Damodaran `fundgrEB.xls`(EBIT 성장률)</t>
        </is>
      </c>
      <c r="C5" t="inlineStr">
        <is>
          <t>역DCF 성장경로(층5, 범위 밖 슬롯)</t>
        </is>
      </c>
      <c r="D5" t="inlineStr">
        <is>
          <t>"가장 큰 구멍"의 비컨센서스 대안</t>
        </is>
      </c>
      <c r="E5" t="inlineStr">
        <is>
          <t>원전대조표</t>
        </is>
      </c>
      <c r="F5" t="inlineStr">
        <is>
          <t>중</t>
        </is>
      </c>
      <c r="G5" t="inlineStr">
        <is>
          <t>있음(GAP)</t>
        </is>
      </c>
      <c r="H5" t="inlineStr">
        <is>
          <t>필요</t>
        </is>
      </c>
    </row>
    <row r="6">
      <c r="A6" t="inlineStr">
        <is>
          <t>5(997)</t>
        </is>
      </c>
      <c r="B6" t="inlineStr">
        <is>
          <t>~~Damodaran `histimpl.xls`(내재ERP)~~</t>
        </is>
      </c>
      <c r="C6" t="inlineStr">
        <is>
          <t>#15 ERP</t>
        </is>
      </c>
      <c r="D6" t="inlineStr">
        <is>
          <t>🔴 **정정(1001) — histimpl.xls는 연간이라 부적합, 실제 후보는 `ERPbymonth.xlsx`(월간).** 위 1번으로 대체됨, 이 행은 폐기</t>
        </is>
      </c>
      <c r="E6" t="inlineStr">
        <is>
          <t>—</t>
        </is>
      </c>
      <c r="F6" t="inlineStr">
        <is>
          <t>—</t>
        </is>
      </c>
      <c r="G6" t="inlineStr">
        <is>
          <t>—</t>
        </is>
      </c>
      <c r="H6" t="inlineStr">
        <is>
          <t>—</t>
        </is>
      </c>
    </row>
    <row r="7">
      <c r="A7" t="inlineStr">
        <is>
          <t>6(997)</t>
        </is>
      </c>
      <c r="B7" t="inlineStr">
        <is>
          <t>나스닥 Financial Status 플래그</t>
        </is>
      </c>
      <c r="C7" t="inlineStr">
        <is>
          <t>상장상태/폐지위험(범위 밖 슬롯)</t>
        </is>
      </c>
      <c r="D7" t="inlineStr">
        <is>
          <t>상폐위험 조기신호</t>
        </is>
      </c>
      <c r="E7" t="inlineStr">
        <is>
          <t>코드 없음, 데이터 이미 우리 유니버스 갱신 스크립트가 지나감</t>
        </is>
      </c>
      <c r="F7" t="inlineStr">
        <is>
          <t>하</t>
        </is>
      </c>
      <c r="G7" t="inlineStr">
        <is>
          <t>없음(신규 필드)</t>
        </is>
      </c>
      <c r="H7" t="inlineStr">
        <is>
          <t>필요</t>
        </is>
      </c>
    </row>
    <row r="8">
      <c r="A8" t="inlineStr">
        <is>
          <t>7(997)</t>
        </is>
      </c>
      <c r="B8" t="inlineStr">
        <is>
          <t>SPDR 전 상품군(섹터ETF 외)</t>
        </is>
      </c>
      <c r="C8" t="inlineStr">
        <is>
          <t>#18 섹터분류</t>
        </is>
      </c>
      <c r="D8" t="inlineStr">
        <is>
          <t>산업(서브섹터) 근사 가능성</t>
        </is>
      </c>
      <c r="E8" t="inlineStr">
        <is>
          <t>라이선스 문구 법무검토(997에서 이미 등재)</t>
        </is>
      </c>
      <c r="F8" t="inlineStr">
        <is>
          <t>중</t>
        </is>
      </c>
      <c r="G8" t="inlineStr">
        <is>
          <t>있음(섹터)</t>
        </is>
      </c>
      <c r="H8" t="inlineStr">
        <is>
          <t>필요(법무)</t>
        </is>
      </c>
    </row>
    <row r="9">
      <c r="A9" t="inlineStr">
        <is>
          <t>8(998,R2)</t>
        </is>
      </c>
      <c r="B9" t="inlineStr">
        <is>
          <t>🔑 FRED ICE BofA OAS(등급별 매일 신용스프레드)</t>
        </is>
      </c>
      <c r="C9" t="inlineStr">
        <is>
          <t>#17 신용스프레드</t>
        </is>
      </c>
      <c r="D9" t="inlineStr">
        <is>
          <t>Damodaran 연1회→매일 갱신으로 정밀도 개선 가능</t>
        </is>
      </c>
      <c r="E9" t="inlineStr">
        <is>
          <t>✅ **999 대조 완료 — 🟡 부분적 대응만 가능**(등급노치 손실·모집단차이·모델추정 vs 시장관측 개념차이). 직접 교체 불가, 하이브리드만 원리적으로 가능. **의존관계#5**(rf·ERP와 같은 as_of 배치)</t>
        </is>
      </c>
      <c r="F9" t="inlineStr">
        <is>
          <t>중</t>
        </is>
      </c>
      <c r="G9" t="inlineStr">
        <is>
          <t>있음(WACC)</t>
        </is>
      </c>
      <c r="H9" t="inlineStr">
        <is>
          <t>필요</t>
        </is>
      </c>
    </row>
    <row r="10">
      <c r="A10" t="inlineStr">
        <is>
          <t>9(998,R2)</t>
        </is>
      </c>
      <c r="B10" t="inlineStr">
        <is>
          <t>~~FRED/Treasury 매일 국채수익률(raw)~~</t>
        </is>
      </c>
      <c r="C10" t="inlineStr">
        <is>
          <t>#14 무위험수익률</t>
        </is>
      </c>
      <c r="D10" t="inlineStr">
        <is>
          <t>🔴 **폐기(1002) — 후보 자격 자체가 없다.** 999의 "정의 완전일치" 판정이 오류였다: Damodaran이 실제 쓰는 rf는 raw Treasury가 아니라 별도의 "$ Riskfree Rate" 계열(1001 발견, 카테고리20 참조) — **짝 제약 문제 이전에 값 자체가 다른 계열**이라 raw FRED는 애초에 대체 후보가 못 된다. → 위 1번(`ERPbymonth.xlsx`의 "$ Riskfree Rate")으로 완전 대체</t>
        </is>
      </c>
      <c r="E10" t="inlineStr">
        <is>
          <t>—</t>
        </is>
      </c>
      <c r="F10" t="inlineStr">
        <is>
          <t>—</t>
        </is>
      </c>
      <c r="G10" t="inlineStr">
        <is>
          <t>—</t>
        </is>
      </c>
    </row>
    <row r="11">
      <c r="A11" t="inlineStr">
        <is>
          <t>10(998,R2)</t>
        </is>
      </c>
      <c r="B11" t="inlineStr">
        <is>
          <t>Duke CFO Survey(분기 ERP)</t>
        </is>
      </c>
      <c r="C11" t="inlineStr">
        <is>
          <t>#15 ERP</t>
        </is>
      </c>
      <c r="D11" t="inlineStr">
        <is>
          <t>서베이 기반 병기용(대체 아님)</t>
        </is>
      </c>
      <c r="E11" t="inlineStr">
        <is>
          <t>정의 차이(서베이 vs 시장내재) 화면 공개 필요</t>
        </is>
      </c>
      <c r="F11" t="inlineStr">
        <is>
          <t>하</t>
        </is>
      </c>
      <c r="G11" t="inlineStr">
        <is>
          <t>없음(병기 표시만)</t>
        </is>
      </c>
      <c r="H11" t="inlineStr">
        <is>
          <t>필요</t>
        </is>
      </c>
    </row>
    <row r="12">
      <c r="A12" t="inlineStr">
        <is>
          <t>11(998,R2)</t>
        </is>
      </c>
      <c r="B12" t="inlineStr">
        <is>
          <t>edgartools(OSS, SEC 원문 그대로 재접근)</t>
        </is>
      </c>
      <c r="C12" t="inlineStr">
        <is>
          <t>#4~#10 재무제표 전체</t>
        </is>
      </c>
      <c r="D12" t="inlineStr">
        <is>
          <t>코드 대안(현재 route.ts 자체 파서 유지 이유 재확인용)</t>
        </is>
      </c>
      <c r="E12" t="inlineStr">
        <is>
          <t>이득이 아니라 "현재 방식이 최선"이라는 대조 자료</t>
        </is>
      </c>
      <c r="F12" t="inlineStr">
        <is>
          <t>—</t>
        </is>
      </c>
      <c r="G12" t="inlineStr">
        <is>
          <t>없음</t>
        </is>
      </c>
      <c r="H12" t="inlineStr">
        <is>
          <t>불필요(정보용)</t>
        </is>
      </c>
    </row>
    <row r="13">
      <c r="A13" t="inlineStr">
        <is>
          <t>12(998,R2)</t>
        </is>
      </c>
      <c r="B13" t="inlineStr">
        <is>
          <t>OpenFIGI(무료 식별자 매핑)</t>
        </is>
      </c>
      <c r="C13" t="inlineStr">
        <is>
          <t>#33(종목마스터, 슬롯 밖)</t>
        </is>
      </c>
      <c r="D13" t="inlineStr">
        <is>
          <t>CIK-티커 매핑 교차검증</t>
        </is>
      </c>
      <c r="E13" t="inlineStr">
        <is>
          <t>CIK 필드 없음 — 티커 조인 검증 필요</t>
        </is>
      </c>
      <c r="F13" t="inlineStr">
        <is>
          <t>하</t>
        </is>
      </c>
      <c r="G13" t="inlineStr">
        <is>
          <t>없음</t>
        </is>
      </c>
      <c r="H13" t="inlineStr">
        <is>
          <t>필요</t>
        </is>
      </c>
    </row>
    <row r="14">
      <c r="A14" t="inlineStr">
        <is>
          <t>13(998,R3)</t>
        </is>
      </c>
      <c r="B14" t="inlineStr">
        <is>
          <t>S&amp;P Global Market Intelligence가 동종서비스 대다수의 실제 소스</t>
        </is>
      </c>
      <c r="C14" t="inlineStr">
        <is>
          <t>(참고, 슬롯 없음)</t>
        </is>
      </c>
      <c r="D14" t="inlineStr">
        <is>
          <t>우리 "SEC원문+Damodaran" 조합이 여전히 드문 조합임을 재확인</t>
        </is>
      </c>
      <c r="E14" t="inlineStr">
        <is>
          <t>판단 대상 아님(정보)</t>
        </is>
      </c>
      <c r="F14" t="inlineStr">
        <is>
          <t>—</t>
        </is>
      </c>
      <c r="G14" t="inlineStr">
        <is>
          <t>없음</t>
        </is>
      </c>
      <c r="H14" t="inlineStr">
        <is>
          <t>불필요</t>
        </is>
      </c>
    </row>
    <row r="15">
      <c r="A15" t="inlineStr">
        <is>
          <t>14(1002)</t>
        </is>
      </c>
      <c r="B15" t="inlineStr">
        <is>
          <t>시가총액↔재무제표 주식수 기준 정합(신규 발견 아님, 975의 미완결 처방)</t>
        </is>
      </c>
      <c r="C15" t="inlineStr">
        <is>
          <t>#1 시가총액 ↔ #5/#6</t>
        </is>
      </c>
      <c r="D15" t="inlineStr">
        <is>
          <t>PBR·PSR 잔차 축소(975: 8.29%→0.05% 수준)</t>
        </is>
      </c>
      <c r="E15" t="inlineStr">
        <is>
          <t>🔴 **975는 진단만 하고 프로덕션에 배선 안 함 — 지금도 잔차가 남아있을 가능성.** 어느 기준(기말발행 vs 가중평균희석)으로 통일할지 판정 필요, 화면 영향 범위(us_valuation 전체) 파악 필요</t>
        </is>
      </c>
      <c r="F15" t="inlineStr">
        <is>
          <t>중</t>
        </is>
      </c>
      <c r="G15" t="inlineStr">
        <is>
          <t>있음(PBR·PSR 전체)</t>
        </is>
      </c>
      <c r="H15" t="inlineStr">
        <is>
          <t>필요</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0" customWidth="1" min="1" max="1"/>
    <col width="49.5" customWidth="1" min="2" max="2"/>
    <col width="60" customWidth="1" min="3" max="3"/>
  </cols>
  <sheetData>
    <row r="1">
      <c r="A1" t="inlineStr">
        <is>
          <t>#</t>
        </is>
      </c>
      <c r="B1" t="inlineStr">
        <is>
          <t>조건</t>
        </is>
      </c>
      <c r="C1" t="inlineStr">
        <is>
          <t>현재 상태(1002 기준)</t>
        </is>
      </c>
    </row>
    <row r="2">
      <c r="A2" t="inlineStr">
        <is>
          <t>1</t>
        </is>
      </c>
      <c r="B2" t="inlineStr">
        <is>
          <t>20개(실질 19개) 슬롯의 "지금 쓰는 소스" 칸이 **주장이 아니라 코드 대조로 검증**됨</t>
        </is>
      </c>
      <c r="C2" t="inlineStr">
        <is>
          <t>🟡 부분 — 1002가 #19(오류 발견·정정)·#20(중복 발견·병합)을 검증. 나머지 슬롯은 대체로 이전 STEP들에서 이미 코드로 확인됐으나 **전 슬롯 일괄 재검증은 이번에도 안 함**(못 한 것 참조)</t>
        </is>
      </c>
    </row>
    <row r="3">
      <c r="A3" t="inlineStr">
        <is>
          <t>2</t>
        </is>
      </c>
      <c r="B3" t="inlineStr">
        <is>
          <t>슬롯 간 의존관계(ⓐⓑⓒ)가 전수 조사되고 카탈로그에 표시됨</t>
        </is>
      </c>
      <c r="C3" t="inlineStr">
        <is>
          <t>✅ 1002 완료(6건 + 기각 2건) — 단, "전수"는 **현재 알려진 20개 슬롯 기준**이며 라운드5로 새 슬롯이 추가되면 재조사 필요</t>
        </is>
      </c>
    </row>
    <row r="4">
      <c r="A4" t="inlineStr">
        <is>
          <t>3</t>
        </is>
      </c>
      <c r="B4" t="inlineStr">
        <is>
          <t>과거 판정(보류/기각/미채택)이 흩어진 문서에서 전수 수집되고, 각 판정의 전제 변화 여부가 표시됨</t>
        </is>
      </c>
      <c r="C4" t="inlineStr">
        <is>
          <t>🟡 부분 — 지시된 8개 문서 중 **3개 전수 완료**(REVDCF_SPEC·VALUATION_SPEC·DECISION+AUDIT, 약 52건 수집·전제변화 5건 식별). **5개 미조사**(LENS_COMPLETION_STANDARD·CHANGELOG·STEP_LEDGER·STATE·LOCALE_SOURCE_PLAYBOOK) — 아래 "과거 판정 흡수" 절 참조</t>
        </is>
      </c>
    </row>
    <row r="5">
      <c r="A5" t="inlineStr">
        <is>
          <t>4</t>
        </is>
      </c>
      <c r="B5" t="inlineStr">
        <is>
          <t>후보 1개뿐인 슬롯이 원리적/실질적으로 구분됨</t>
        </is>
      </c>
      <c r="C5" t="inlineStr">
        <is>
          <t>✅ 1002 완료(원리적 2·실질적 1)</t>
        </is>
      </c>
    </row>
    <row r="6">
      <c r="A6" t="inlineStr">
        <is>
          <t>5</t>
        </is>
      </c>
      <c r="B6" t="inlineStr">
        <is>
          <t>즉시이득 목록의 각 항목이 선결조건까지 포함해 "장은태가 판정만 하면 실행할 수 있는" 상태</t>
        </is>
      </c>
      <c r="C6" t="inlineStr">
        <is>
          <t>🟡 부분 — 14건 중 다수가 선결조건(원전대조표 등)이 아직 안 끝나 판정 자체가 아직 불가능한 항목이 섞여 있음(판정 가능 상태 ≠ 판정 완료 상태, 이 둘을 구분해 표시함)</t>
        </is>
      </c>
    </row>
    <row r="7">
      <c r="A7" t="inlineStr">
        <is>
          <t>6</t>
        </is>
      </c>
      <c r="B7" t="inlineStr">
        <is>
          <t>라운드5(새 각도) 착수 여부가 판정됨</t>
        </is>
      </c>
      <c r="C7" t="inlineStr">
        <is>
          <t>⬜ 미판정 — 998이 열어둔 채 유지</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0" customWidth="1" min="1" max="1"/>
    <col width="54.9" customWidth="1" min="2" max="2"/>
    <col width="36.9" customWidth="1" min="3" max="3"/>
    <col width="60" customWidth="1" min="4" max="4"/>
    <col width="60" customWidth="1" min="5" max="5"/>
  </cols>
  <sheetData>
    <row r="1">
      <c r="A1" t="inlineStr">
        <is>
          <t>#</t>
        </is>
      </c>
      <c r="B1" t="inlineStr">
        <is>
          <t>판정</t>
        </is>
      </c>
      <c r="C1" t="inlineStr">
        <is>
          <t>원래 전제</t>
        </is>
      </c>
      <c r="D1" t="inlineStr">
        <is>
          <t>무엇이 바뀌었나</t>
        </is>
      </c>
      <c r="E1" t="inlineStr">
        <is>
          <t>재론 상태</t>
        </is>
      </c>
    </row>
    <row r="2">
      <c r="A2" t="inlineStr">
        <is>
          <t>1</t>
        </is>
      </c>
      <c r="B2" t="inlineStr">
        <is>
          <t>STEP838 — SEC bulk `companyfacts.zip` 기각</t>
        </is>
      </c>
      <c r="C2" t="inlineStr">
        <is>
          <t>유니버스 N=**623**, 개별 API 호출이 저렴</t>
        </is>
      </c>
      <c r="D2" t="inlineStr">
        <is>
          <t>유니버스가 **5,893**(9.5배)으로 커짐, 순증 40건/일 병목 발생</t>
        </is>
      </c>
      <c r="E2" t="inlineStr">
        <is>
          <t>✅ 993~996에서 재론·역전(부분채택)</t>
        </is>
      </c>
    </row>
    <row r="3">
      <c r="A3" t="inlineStr">
        <is>
          <t>2</t>
        </is>
      </c>
      <c r="B3" t="inlineStr">
        <is>
          <t>STEP849 — FRED 일간 rf 보류</t>
        </is>
      </c>
      <c r="C3" t="inlineStr">
        <is>
          <t>"짝 안 맞아 보류 — **일간 rf 변형은 후속**"(스스로 예고)</t>
        </is>
      </c>
      <c r="D3" t="inlineStr">
        <is>
          <t>예고된 후속이 실행되기까지 **STEP150개 이상 경과**, 그마저 999~1000이 최초엔 짝 제약 자체를 놓침</t>
        </is>
      </c>
      <c r="E3" t="inlineStr">
        <is>
          <t>✅ 999~1001에서 재론(1001에서 정정)</t>
        </is>
      </c>
    </row>
    <row r="4">
      <c r="A4" t="inlineStr">
        <is>
          <t>3</t>
        </is>
      </c>
      <c r="B4" t="inlineStr">
        <is>
          <t>STEP985 — 시총 재구성 폴백을 **배선한다**</t>
        </is>
      </c>
      <c r="C4" t="inlineStr">
        <is>
          <t>표본 **1건**(XOM, 재구성오차 0.001%)</t>
        </is>
      </c>
      <c r="D4" t="inlineStr">
        <is>
          <t>**STEP986**(같은 조사 연속선, 며칠이 아니라 **하루~이틀 안**) — 전수 대조하니 p90 20%·최대 99.22%(복수클래스 주식 구조 문제)</t>
        </is>
      </c>
      <c r="E4" t="inlineStr">
        <is>
          <t>✅ 986에서 즉시 정정(저장 대신 관측만 배선) — **판정 수명이 1개 STEP도 못 갔다**, 소표본 함정의 가장 빠른 사례</t>
        </is>
      </c>
    </row>
    <row r="5">
      <c r="A5" t="inlineStr">
        <is>
          <t>4</t>
        </is>
      </c>
      <c r="B5" t="inlineStr">
        <is>
          <t>STEP934→935→937 — US 시총취득 실패 원인</t>
        </is>
      </c>
      <c r="C5" t="inlineStr">
        <is>
          <t>각 STEP마다 새 가설(예산부족→개수절단→취득실패→"필드 자체가 없음")</t>
        </is>
      </c>
      <c r="D5" t="inlineStr">
        <is>
          <t>세 번 연속 반증됨</t>
        </is>
      </c>
      <c r="E5" t="inlineStr">
        <is>
          <t>⬜ 937에서 원인 미확정으로 종결(재론 안 됨)</t>
        </is>
      </c>
    </row>
    <row r="6">
      <c r="A6" t="inlineStr">
        <is>
          <t>5</t>
        </is>
      </c>
      <c r="B6" t="inlineStr">
        <is>
          <t>STEP952b — `RAYA` 섹터 미분류 원인</t>
        </is>
      </c>
      <c r="C6" t="inlineStr">
        <is>
          <t>"ticker_norm 중복(RAYA형) 문제"</t>
        </is>
      </c>
      <c r="D6" t="inlineStr">
        <is>
          <t>같은 STEP 안에서 조사 중 **전제 자체가 처음부터 틀렸음**을 발견(진짜 원인 = `fetchAll()` 페이지네이션 비결정성)</t>
        </is>
      </c>
      <c r="E6" t="inlineStr">
        <is>
          <t>✅ 같은 STEP 내 정정(전제 수명 &lt; 1 STEP)</t>
        </is>
      </c>
    </row>
    <row r="7">
      <c r="A7" t="inlineStr">
        <is>
          <t>6</t>
        </is>
      </c>
      <c r="B7" t="inlineStr">
        <is>
          <t>(대조군 — 전제가 아직도 유효한 사례) STEP873 — 무료 multi-year 성장률 컨센서스 소스 없음</t>
        </is>
      </c>
      <c r="C7" t="inlineStr">
        <is>
          <t>"무료 경로가 없다"</t>
        </is>
      </c>
      <c r="D7" t="inlineStr">
        <is>
          <t>**998의 92개 소스 전수조사에서도 재확인** — LSEG/Bloomberg/FactSet/S&amp;P CapIQ 4곳이 유일한 제도권 소스이나 전부 유료, "994 이전부터 미해결 확정 유지"라고 998 스스로 명시</t>
        </is>
      </c>
      <c r="E7" t="inlineStr">
        <is>
          <t>전제 유효 — 재론 불필요(비교를 위해 기록)</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0" customWidth="1" min="1" max="1"/>
    <col width="51.3" customWidth="1" min="2" max="2"/>
    <col width="46.8" customWidth="1" min="3" max="3"/>
    <col width="60" customWidth="1" min="4" max="4"/>
    <col width="60" customWidth="1" min="5" max="5"/>
  </cols>
  <sheetData>
    <row r="1">
      <c r="A1" t="inlineStr">
        <is>
          <t>STEP</t>
        </is>
      </c>
      <c r="B1" t="inlineStr">
        <is>
          <t>평가대상</t>
        </is>
      </c>
      <c r="C1" t="inlineStr">
        <is>
          <t>판정</t>
        </is>
      </c>
      <c r="D1" t="inlineStr">
        <is>
          <t>이유(요약)</t>
        </is>
      </c>
      <c r="E1" t="inlineStr">
        <is>
          <t>전제</t>
        </is>
      </c>
    </row>
    <row r="2">
      <c r="A2" t="inlineStr">
        <is>
          <t>841</t>
        </is>
      </c>
      <c r="B2" t="inlineStr">
        <is>
          <t>Damodaran 업종매칭 키 — 거래소+구두점정규화 vs 설립국</t>
        </is>
      </c>
      <c r="C2" t="inlineStr">
        <is>
          <t>채택=거래소+정규화(95.5%) / 기각=설립국(오분류 있음, TEL·ET 등)</t>
        </is>
      </c>
      <c r="D2" t="inlineStr">
        <is>
          <t>설립국 기준은 90.4% 커버되나 아일랜드·스위스 설립 미국상장사를 엉뚱한 국가 업종으로 오분류</t>
        </is>
      </c>
      <c r="E2" t="inlineStr">
        <is>
          <t>623종목 유니버스 — 유효(841 이후 지속)</t>
        </is>
      </c>
    </row>
    <row r="3">
      <c r="A3" t="inlineStr">
        <is>
          <t>841→877</t>
        </is>
      </c>
      <c r="B3" t="inlineStr">
        <is>
          <t>driver3 세율 — 한계세율 vs 업종실효세율</t>
        </is>
      </c>
      <c r="C3" t="inlineStr">
        <is>
          <t>뒤집힘 → 한계세율(25.63%) 기본</t>
        </is>
      </c>
      <c r="D3" t="inlineStr">
        <is>
          <t>Damodaran 원문 "영구가치엔 한계세율" + WACC 부채세금방패와 세율 통일</t>
        </is>
      </c>
      <c r="E3" t="inlineStr">
        <is>
          <t>세율 글라이드 안 씀·터미널=영구연금 — 유효</t>
        </is>
      </c>
    </row>
    <row r="4">
      <c r="A4" t="inlineStr">
        <is>
          <t>841</t>
        </is>
      </c>
      <c r="B4" t="inlineStr">
        <is>
          <t>driver3 현금세율(16.5%) 금지 근거</t>
        </is>
      </c>
      <c r="C4" t="inlineStr">
        <is>
          <t>기각(안 씀), 단 최초 사유가 오류였음이 뒤늦게 정정</t>
        </is>
      </c>
      <c r="D4" t="inlineStr">
        <is>
          <t>최초: "이중계산" → 정정: 원전도 같은 현금세율을 WACC에 씀(이중계산 아님), 진짜 근거는 "영구구간=한계세율"</t>
        </is>
      </c>
      <c r="E4" t="inlineStr">
        <is>
          <t>847 실측(현금세율 커버리지 58%뿐) — 유효</t>
        </is>
      </c>
    </row>
    <row r="5">
      <c r="A5" t="inlineStr">
        <is>
          <t>841</t>
        </is>
      </c>
      <c r="B5" t="inlineStr">
        <is>
          <t>driver3 세율 병기 폴백값(수익기업평균 vs aggregate)</t>
        </is>
      </c>
      <c r="C5" t="inlineStr">
        <is>
          <t>**미결(보류)**</t>
        </is>
      </c>
      <c r="D5" t="inlineStr">
        <is>
          <t>다모다란 본인 권고 문헌을 못 찾음</t>
        </is>
      </c>
      <c r="E5" t="inlineStr">
        <is>
          <t>확인 필요 — 끝까지 미결</t>
        </is>
      </c>
    </row>
    <row r="6">
      <c r="A6" t="inlineStr">
        <is>
          <t>844→875→880</t>
        </is>
      </c>
      <c r="B6" t="inlineStr">
        <is>
          <t>driver4/5 — 수준형 vs 한계형(원전식)</t>
        </is>
      </c>
      <c r="C6" t="inlineStr">
        <is>
          <t>driver4=수준형 채택 / driver5=수준형→한계형(marginal)으로 역전(880)</t>
        </is>
      </c>
      <c r="D6" t="inlineStr">
        <is>
          <t>driver4는 한계형 연도간변동 94.95%p로 불안정. driver5는 반대 — 도미노 앵커 재현에서 marginal만 원전값(11.6%)과 일치</t>
        </is>
      </c>
      <c r="E6" t="inlineStr">
        <is>
          <t>도미노 직접개봉 앵커재현 — 유효</t>
        </is>
      </c>
    </row>
    <row r="7">
      <c r="A7" t="inlineStr">
        <is>
          <t>844</t>
        </is>
      </c>
      <c r="B7" t="inlineStr">
        <is>
          <t>driver4 업종평균 WC/Sales 폴백</t>
        </is>
      </c>
      <c r="C7" t="inlineStr">
        <is>
          <t>기각</t>
        </is>
      </c>
      <c r="D7" t="inlineStr">
        <is>
          <t>Damodaran 업종중앙값 14.52% vs 우리계산 1.86%(8배차), 정의불일치(이자부부채 못 뺌)</t>
        </is>
      </c>
      <c r="E7" t="inlineStr">
        <is>
          <t>`wcdata.xls` 대조실측 — 유효</t>
        </is>
      </c>
    </row>
    <row r="8">
      <c r="A8" t="inlineStr">
        <is>
          <t>849→918→919</t>
        </is>
      </c>
      <c r="B8" t="inlineStr">
        <is>
          <t>WACC 조립 — 컴포넌트 개별조립 vs Damodaran 완성열</t>
        </is>
      </c>
      <c r="C8" t="inlineStr">
        <is>
          <t>기각(완성열 미사용, 대조·검증용으로만)</t>
        </is>
      </c>
      <c r="D8" t="inlineStr">
        <is>
          <t>완성열엔 다모다란 자체세율(25.00%)이 내장, driver3(25.63%)와 두 세율 공존하는 정합붕괴 발생</t>
        </is>
      </c>
      <c r="E8" t="inlineStr">
        <is>
          <t>검산 결과 조립로직 정확(94업종 중앙 0.08%p차) — 유효</t>
        </is>
      </c>
    </row>
    <row r="9">
      <c r="A9" t="inlineStr">
        <is>
          <t>866-867</t>
        </is>
      </c>
      <c r="B9" t="inlineStr">
        <is>
          <t>유니버스 조달범위 — 거래소상장만 vs OTC포함</t>
        </is>
      </c>
      <c r="C9" t="inlineStr">
        <is>
          <t>채택=거래소상장만(OTC 조달안함)</t>
        </is>
      </c>
      <c r="D9" t="inlineStr">
        <is>
          <t>OTC 486사 넣어도 산출종목+8뿐. FTSE Russell §5.6.1(실시간가격 요건)이 유일 서술 1차출처</t>
        </is>
      </c>
      <c r="E9" t="inlineStr">
        <is>
          <t>목표치(2,857) 미구현 상태로 문서 종료 — 확인 필요</t>
        </is>
      </c>
    </row>
    <row r="10">
      <c r="A10" t="inlineStr">
        <is>
          <t>873</t>
        </is>
      </c>
      <c r="B10" t="inlineStr">
        <is>
          <t>driver1 매출성장 — SEC 5년CAGR 유지 vs 원전식(가이던스/컨센서스)</t>
        </is>
      </c>
      <c r="C10" t="inlineStr">
        <is>
          <t>기각(교체 안 함)</t>
        </is>
      </c>
      <c r="D10" t="inlineStr">
        <is>
          <t>야후 컨센서스는 +1년까지뿐(원전은 전체지평 단일값 필요), CKL2003(매출성장 지속성 有 vs 애널장기전망 부정확)</t>
        </is>
      </c>
      <c r="E10" t="inlineStr">
        <is>
          <t>무료 multi-year 소스 없음 — **998이 재확인, 여전히 유효**(위 대조군 참조)</t>
        </is>
      </c>
    </row>
    <row r="11">
      <c r="A11" t="inlineStr">
        <is>
          <t>875</t>
        </is>
      </c>
      <c r="B11" t="inlineStr">
        <is>
          <t>driver4 원전 증분식(T4) 교체</t>
        </is>
      </c>
      <c r="C11" t="inlineStr">
        <is>
          <t>기각(교체 안 함)</t>
        </is>
      </c>
      <c r="D11" t="inlineStr">
        <is>
          <t>Damodaran이 수준형을 명시 권고, 원전 증분식 자체가 불안정(도미노도 −26.7~+18.2% 변동)</t>
        </is>
      </c>
      <c r="E11" t="inlineStr">
        <is>
          <t>874/876 태그매핑률 12.6→29.5%뿐 — 유효</t>
        </is>
      </c>
    </row>
    <row r="12">
      <c r="A12" t="inlineStr">
        <is>
          <t>878-879</t>
        </is>
      </c>
      <c r="B12" t="inlineStr">
        <is>
          <t>driver5 대안 3종(capex-only·sales-to-capital·Δ매출하한)</t>
        </is>
      </c>
      <c r="C12" t="inlineStr">
        <is>
          <t>전부 미채택</t>
        </is>
      </c>
      <c r="D12" t="inlineStr">
        <is>
          <t>sales-to-capital은 도미노에 Book Equity 데이터 자체가 없어 앵커검증 불가. Δ매출하한은 다모다란 실제 처방과 다름</t>
        </is>
      </c>
      <c r="E12" t="inlineStr">
        <is>
          <t>880이 marginal 이미 채택 — 재검증 필요성 소멸</t>
        </is>
      </c>
    </row>
    <row r="13">
      <c r="A13" t="inlineStr">
        <is>
          <t>903</t>
        </is>
      </c>
      <c r="B13" t="inlineStr">
        <is>
          <t>DoD3 외부검증 3종목 대조</t>
        </is>
      </c>
      <c r="C13" t="inlineStr">
        <is>
          <t>부분채택(도메인 상한 🅿️)</t>
        </is>
      </c>
      <c r="D13" t="inlineStr">
        <is>
          <t>GAP류 공개처가 세상에 3곳뿐(도미노·Mauboussin-Johnson·NewConstructs), 전부 동시점 재현 불가</t>
        </is>
      </c>
      <c r="E13" t="inlineStr">
        <is>
          <t>새 공개처 등장 시 재개 — 유효</t>
        </is>
      </c>
    </row>
    <row r="14">
      <c r="A14" t="inlineStr">
        <is>
          <t>965</t>
        </is>
      </c>
      <c r="B14" t="inlineStr">
        <is>
          <t>재무제표 vintage — 최신 제출값 vs 원본 고정</t>
        </is>
      </c>
      <c r="C14" t="inlineStr">
        <is>
          <t>채택=최신 제출값(재작성 반영)</t>
        </is>
      </c>
      <c r="D14" t="inlineStr">
        <is>
          <t>분자(오늘 시총)·분모(재무) 시점정합, stockanalysis.com도 동일 방식 확인</t>
        </is>
      </c>
      <c r="E14" t="inlineStr">
        <is>
          <t>백테스트 미도입 — 재검토조건=백테스트 도입 시점(현재 유효)</t>
        </is>
      </c>
    </row>
    <row r="15">
      <c r="A15" t="inlineStr">
        <is>
          <t>967</t>
        </is>
      </c>
      <c r="B15" t="inlineStr">
        <is>
          <t>은행형 매출 — REV 완전전무 시 순이자+비이자 폴백</t>
        </is>
      </c>
      <c r="C15" t="inlineStr">
        <is>
          <t>채택(제한적)</t>
        </is>
      </c>
      <c r="D15" t="inlineStr">
        <is>
          <t>FDIC 감독매뉴얼 정의, SEC 10-K 원문(CBSH) 대조 확정</t>
        </is>
      </c>
      <c r="E15" t="inlineStr">
        <is>
          <t>19개 지역은행 회복, 604 역DCF 유니버스와 무관(영향 0) — 유효</t>
        </is>
      </c>
    </row>
    <row r="16">
      <c r="A16" t="inlineStr">
        <is>
          <t>969</t>
        </is>
      </c>
      <c r="B16" t="inlineStr">
        <is>
          <t>부채 — 「확정0/확정값/모름」 3분류</t>
        </is>
      </c>
      <c r="C16" t="inlineStr">
        <is>
          <t>기각(무조건0) → 채택(3분류)</t>
        </is>
      </c>
      <c r="D16" t="inlineStr">
        <is>
          <t>GM 사례에서 진짜 부채인데 배열 밖 태그라 0으로 오계산되던 것 발단</t>
        </is>
      </c>
      <c r="E16" t="inlineStr">
        <is>
          <t>GM검산 137건 변화·verdict 6건 변화 — 유효(단 백필 중 191종목 오염사고 있었음)</t>
        </is>
      </c>
    </row>
    <row r="17">
      <c r="A17" t="inlineStr">
        <is>
          <t>993-994</t>
        </is>
      </c>
      <c r="B17" t="inlineStr">
        <is>
          <t>SEC throttle — 공유변수 vs 사전예약(nextAt)</t>
        </is>
      </c>
      <c r="C17" t="inlineStr">
        <is>
          <t>기각(공유변수, 경쟁조건 있음) → 채택(사전예약)</t>
        </is>
      </c>
      <c r="D17" t="inlineStr">
        <is>
          <t>실측 22.76req/s로 SEC 공식상한(10req/s)의 2.3배 찍고 있었음</t>
        </is>
      </c>
      <c r="E17" t="inlineStr">
        <is>
          <t>값불변 20/20 검증 — 유효(배포는 승인대기 상태로 문서종료)</t>
        </is>
      </c>
    </row>
    <row r="18">
      <c r="A18" t="inlineStr">
        <is>
          <t>995-996</t>
        </is>
      </c>
      <c r="B18" t="inlineStr">
        <is>
          <t>SEC 벌크파일 재도입(838 뒤집음)</t>
        </is>
      </c>
      <c r="C18" t="inlineStr">
        <is>
          <t>부분채택(Range 부분추출)</t>
        </is>
      </c>
      <c r="D18" t="inlineStr">
        <is>
          <t>838 전제(N=623) 무효화, 벌크 통째 다운로드는 19.2GB라 불가하나 Range 파싱은 가능</t>
        </is>
      </c>
      <c r="E18" t="inlineStr">
        <is>
          <t>20건 딥비교 완전일치·4,493건 1차적재 — 유효</t>
        </is>
      </c>
    </row>
    <row r="19">
      <c r="A19" t="inlineStr">
        <is>
          <t>999-1003</t>
        </is>
      </c>
      <c r="B19" t="inlineStr">
        <is>
          <t>무위험수익률 소스 — FRED만 교체 → 짝 필요 발견 → ERPbymonth.xlsx 페어 구현</t>
        </is>
      </c>
      <c r="C19" t="inlineStr">
        <is>
          <t>선택지A 철회 → 선택지C 구현완료(적재 대기)</t>
        </is>
      </c>
      <c r="D19" t="inlineStr">
        <is>
          <t>rf만 바꾸면 ERP와 짝이 안 맞음(849가 이미 경고). ERPbymonth.xlsx가 짝을 제공</t>
        </is>
      </c>
      <c r="E19" t="inlineStr">
        <is>
          <t>Damodaran의 "$ Riskfree Rate" 산식 — 1003에서 확인됨(2025-05 Moody's 미국 신용등급 강등 대응, T.Bond rate−디폴트스프레드)</t>
        </is>
      </c>
    </row>
    <row r="20">
      <c r="A20" t="inlineStr">
        <is>
          <t>(반복)</t>
        </is>
      </c>
      <c r="B20" t="inlineStr">
        <is>
          <t>원전 3층 값불일치(T5 계산값·책 서술값·T8 리터럴) — T8을 원전으로 채택</t>
        </is>
      </c>
      <c r="C20" t="inlineStr">
        <is>
          <t>채택=T8(출력 검증가능)</t>
        </is>
      </c>
      <c r="D20" t="inlineStr">
        <is>
          <t>책 서술값(p.92) 미보유라 판정 불가</t>
        </is>
      </c>
      <c r="E20" t="inlineStr">
        <is>
          <t>책 원본 미확보 상태 지속 — 확인 필요</t>
        </is>
      </c>
    </row>
    <row r="21">
      <c r="A21" t="inlineStr">
        <is>
          <t>(§9표)</t>
        </is>
      </c>
      <c r="B21" t="inlineStr">
        <is>
          <t>탈락후보 5건(Zacks Rank·REV6·시계열SUE/PEAD·HOLT복제·Damodaran동시역산)</t>
        </is>
      </c>
      <c r="C21" t="inlineStr">
        <is>
          <t>전부 기각</t>
        </is>
      </c>
      <c r="D21" t="inlineStr">
        <is>
          <t>각각: 비공개모델·유료+한국55%·약한신호×약해지는신호·대조값자체가유료비공개·가정증가</t>
        </is>
      </c>
      <c r="E21" t="inlineStr">
        <is>
          <t>개별 실측 기반 — 유효(재론 안 됨)</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0" customWidth="1" min="1" max="1"/>
    <col width="60" customWidth="1" min="2" max="2"/>
    <col width="34.2" customWidth="1" min="3" max="3"/>
    <col width="60" customWidth="1" min="4" max="4"/>
    <col width="54.9" customWidth="1" min="5" max="5"/>
  </cols>
  <sheetData>
    <row r="1">
      <c r="A1" t="inlineStr">
        <is>
          <t>STEP</t>
        </is>
      </c>
      <c r="B1" t="inlineStr">
        <is>
          <t>평가대상</t>
        </is>
      </c>
      <c r="C1" t="inlineStr">
        <is>
          <t>판정</t>
        </is>
      </c>
      <c r="D1" t="inlineStr">
        <is>
          <t>이유(요약)</t>
        </is>
      </c>
      <c r="E1" t="inlineStr">
        <is>
          <t>전제</t>
        </is>
      </c>
    </row>
    <row r="2">
      <c r="A2" t="inlineStr">
        <is>
          <t>947</t>
        </is>
      </c>
      <c r="B2" t="inlineStr">
        <is>
          <t>`unavailableWhen` — 원문 3조건 vs 구현 4조건(debt·nonOperatingAssets null 추가)</t>
        </is>
      </c>
      <c r="C2" t="inlineStr">
        <is>
          <t>원문보다 넓힘(4번째 조건 추가)</t>
        </is>
      </c>
      <c r="D2" t="inlineStr">
        <is>
          <t>0으로 채우면 "모른다"를 "무차입이다"로 둔갑 — 규칙5-1⑤ 위반 방지</t>
        </is>
      </c>
      <c r="E2" t="inlineStr">
        <is>
          <t>구현 시 발견 — 유효(131건 실전 발생 확인)</t>
        </is>
      </c>
    </row>
    <row r="3">
      <c r="A3" t="inlineStr">
        <is>
          <t>947</t>
        </is>
      </c>
      <c r="B3" t="inlineStr">
        <is>
          <t>Damodaran vebitda.pdf(EV 정의)·pbv.pdf(common equity 정의)</t>
        </is>
      </c>
      <c r="C3" t="inlineStr">
        <is>
          <t>채택(인용) — 단 원문 PDF 로컬 미확보</t>
        </is>
      </c>
      <c r="D3" t="inlineStr">
        <is>
          <t>⓪ 원전 인벤토리 규칙상 "빚"으로 기록됨</t>
        </is>
      </c>
      <c r="E3" t="inlineStr">
        <is>
          <t>🔴 **재대조 안 됨 — 확인 필요(⓪ 규칙 위반 상태 지속)**</t>
        </is>
      </c>
    </row>
    <row r="4">
      <c r="A4" t="inlineStr">
        <is>
          <t>947</t>
        </is>
      </c>
      <c r="B4" t="inlineStr">
        <is>
          <t>PSR 표준정의 원문</t>
        </is>
      </c>
      <c r="C4" t="inlineStr">
        <is>
          <t>**미확보 — 일반론으로 안 채우고 "못 찾음" 유지**</t>
        </is>
      </c>
      <c r="D4" t="inlineStr">
        <is>
          <t>psdata.xls FAQ·variable.htm·c21.pdf 확인했으나 종목단위 정의(총매출/순매출, 금융업 처리) 자체가 없음(962 재확인)</t>
        </is>
      </c>
      <c r="E4" t="inlineStr">
        <is>
          <t>확인 필요 — 계속 미결</t>
        </is>
      </c>
    </row>
    <row r="5">
      <c r="A5" t="inlineStr">
        <is>
          <t>948</t>
        </is>
      </c>
      <c r="B5" t="inlineStr">
        <is>
          <t>야후 원시 PER/PBR 상대차 측정(§5)</t>
        </is>
      </c>
      <c r="C5" t="inlineStr">
        <is>
          <t>**미실시 — 명령서 전제 오류**</t>
        </is>
      </c>
      <c r="D5" t="inlineStr">
        <is>
          <t>"lens_scores에 야후 원시PER 저장"이 틀렸음(실제론 파생점수만 저장, 원시값은 DB에 없음)</t>
        </is>
      </c>
      <c r="E5" t="inlineStr">
        <is>
          <t>발견 즉시 반영 — 재측정 필요(대량 라이브 호출 필요해 임의 실행 안 함)</t>
        </is>
      </c>
    </row>
    <row r="6">
      <c r="A6" t="inlineStr">
        <is>
          <t>952b</t>
        </is>
      </c>
      <c r="B6" t="inlineStr">
        <is>
          <t>`RAYA` 섹터 미분류 원인 — ticker_norm 중복 가설</t>
        </is>
      </c>
      <c r="C6" t="inlineStr">
        <is>
          <t>**전제 자체가 틀림(같은 STEP 내 정정)**</t>
        </is>
      </c>
      <c r="D6" t="inlineStr">
        <is>
          <t>진짜 원인 = `fetchAll()`의 `.range()` 페이지네이션 비결정성(`.order()` 없음)</t>
        </is>
      </c>
      <c r="E6" t="inlineStr">
        <is>
          <t>위 "전제 변화" #5 참조</t>
        </is>
      </c>
    </row>
    <row r="7">
      <c r="A7" t="inlineStr">
        <is>
          <t>955</t>
        </is>
      </c>
      <c r="B7" t="inlineStr">
        <is>
          <t>페이지네이션 비결정성 처방 — `.order()` 추가 vs 필터완화 vs 현행유지</t>
        </is>
      </c>
      <c r="C7" t="inlineStr">
        <is>
          <t>**판정 대기(3안 제시만)**</t>
        </is>
      </c>
      <c r="D7" t="inlineStr">
        <is>
          <t>성능저하 가능성·다른 fetchAll류 함수 영향 미조사</t>
        </is>
      </c>
      <c r="E7" t="inlineStr">
        <is>
          <t>확인 필요</t>
        </is>
      </c>
    </row>
    <row r="8">
      <c r="A8" t="inlineStr">
        <is>
          <t>956</t>
        </is>
      </c>
      <c r="B8" t="inlineStr">
        <is>
          <t>`minSample` = 20</t>
        </is>
      </c>
      <c r="C8" t="inlineStr">
        <is>
          <t>채택</t>
        </is>
      </c>
      <c r="D8" t="inlineStr">
        <is>
          <t>44칸(11업종×4축) 중 5칸이 비게 됨(Real Estate 전축·Financials EV/EBITDA)을 감수</t>
        </is>
      </c>
      <c r="E8" t="inlineStr">
        <is>
          <t>표본 실측표 기반 — 유효</t>
        </is>
      </c>
    </row>
    <row r="9">
      <c r="A9" t="inlineStr">
        <is>
          <t>962-963</t>
        </is>
      </c>
      <c r="B9" t="inlineStr">
        <is>
          <t>자기자본 정의 — 총자기자본 vs 보통주장부가(ⓑ) vs 유형장부가(ⓒ)</t>
        </is>
      </c>
      <c r="C9" t="inlineStr">
        <is>
          <t>채택=ⓑ(보통주장부가) / 기각=ⓒ(유형장부가)</t>
        </is>
      </c>
      <c r="D9" t="inlineStr">
        <is>
          <t>ⓒ는 49건 중 35건 변화(p90 388%)·12건 장부가 음수전환 — 파괴적</t>
        </is>
      </c>
      <c r="E9" t="inlineStr">
        <is>
          <t>930종목 전량 실측(PBR p90 0%, Financials 8.8%·Utilities 11.8%) — 유효</t>
        </is>
      </c>
    </row>
    <row r="10">
      <c r="A10" t="inlineStr">
        <is>
          <t>966</t>
        </is>
      </c>
      <c r="B10" t="inlineStr">
        <is>
          <t>IFRS `ifrs-full` 태그 지원 추가 여부(3선택지)</t>
        </is>
      </c>
      <c r="C10" t="inlineStr">
        <is>
          <t>**판정 없음(선택지만)**</t>
        </is>
      </c>
      <c r="D10" t="inlineStr">
        <is>
          <t>②안(태그확장)은 확실 25/197·잠재 52/197 회복하나 "IFRS·GAAP 배수를 같은 백분위에 섞어도 되는지" 미검증</t>
        </is>
      </c>
      <c r="E10" t="inlineStr">
        <is>
          <t>확인 필요 — CLAUDE.md "ADR은 소속국탭" 정책과 겹칠 수 있음(재론 안 함)</t>
        </is>
      </c>
    </row>
    <row r="11">
      <c r="A11" t="inlineStr">
        <is>
          <t>967</t>
        </is>
      </c>
      <c r="B11" t="inlineStr">
        <is>
          <t>은행형 매출 폴백</t>
        </is>
      </c>
      <c r="C11" t="inlineStr">
        <is>
          <t>(REVDCF_SPEC.md와 동일 판정, 중복 기재 안 함)</t>
        </is>
      </c>
      <c r="D11" t="inlineStr">
        <is>
          <t>—</t>
        </is>
      </c>
      <c r="E11" t="inlineStr">
        <is>
          <t>—</t>
        </is>
      </c>
    </row>
    <row r="12">
      <c r="A12" t="inlineStr">
        <is>
          <t>985→986</t>
        </is>
      </c>
      <c r="B12" t="inlineStr">
        <is>
          <t>시총 재구성 — 프로덕션 배선 여부</t>
        </is>
      </c>
      <c r="C12" t="inlineStr">
        <is>
          <t>**985 "배선한다" → 986 "관측만"으로 정정**</t>
        </is>
      </c>
      <c r="D12" t="inlineStr">
        <is>
          <t>위 "전제 변화" #3 참조 — 표본1건 vs 전수(p90 20%)</t>
        </is>
      </c>
      <c r="E12" t="inlineStr">
        <is>
          <t>프로덕션 실효성은 여전히 미확인(재현 불가 환경)</t>
        </is>
      </c>
    </row>
    <row r="13">
      <c r="A13" t="inlineStr">
        <is>
          <t>958</t>
        </is>
      </c>
      <c r="B13" t="inlineStr">
        <is>
          <t>DoD3 외부대조 소스 — stockanalysis.com 채택 / macrotrends·gurufocus</t>
        </is>
      </c>
      <c r="C13" t="inlineStr">
        <is>
          <t>채택(가능한 곳) / **접근불가로 미사용(기각이 아니라 403)**</t>
        </is>
      </c>
      <c r="D13" t="inlineStr">
        <is>
          <t>stockanalysis.com만 연도별 배수+그 시점 종가를 무료로 제공, 나머지는 HTTP 403/유료</t>
        </is>
      </c>
      <c r="E13" t="inlineStr">
        <is>
          <t>5종목 대조 완료(DoD3 최소3종목 충족) — 유효</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0" customWidth="1" min="1" max="1"/>
    <col width="59.4" customWidth="1" min="2" max="2"/>
    <col width="45" customWidth="1" min="3" max="3"/>
    <col width="40.5" customWidth="1" min="4" max="4"/>
  </cols>
  <sheetData>
    <row r="1">
      <c r="A1" t="inlineStr">
        <is>
          <t>STEP</t>
        </is>
      </c>
      <c r="B1" t="inlineStr">
        <is>
          <t>평가대상</t>
        </is>
      </c>
      <c r="C1" t="inlineStr">
        <is>
          <t>판정</t>
        </is>
      </c>
      <c r="D1" t="inlineStr">
        <is>
          <t>이유(요약)</t>
        </is>
      </c>
    </row>
    <row r="2">
      <c r="A2" t="inlineStr">
        <is>
          <t>890</t>
        </is>
      </c>
      <c r="B2" t="inlineStr">
        <is>
          <t>역DCF 모집단 정의 — 실제운영표본(604) vs 목표조달범위(2,857)</t>
        </is>
      </c>
      <c r="C2" t="inlineStr">
        <is>
          <t>조건부채택(두 숫자 문서에서 명시 분리)</t>
        </is>
      </c>
      <c r="D2" t="inlineStr">
        <is>
          <t>혼동 방지</t>
        </is>
      </c>
    </row>
    <row r="3">
      <c r="A3" t="inlineStr">
        <is>
          <t>902</t>
        </is>
      </c>
      <c r="B3" t="inlineStr">
        <is>
          <t>DoD3 외부검증 3종목 요건</t>
        </is>
      </c>
      <c r="C3" t="inlineStr">
        <is>
          <t>도메인상한(🅿️)으로 대체 승인</t>
        </is>
      </c>
      <c r="D3" t="inlineStr">
        <is>
          <t>REVDCF_SPEC 903과 동일 판정(교차기재)</t>
        </is>
      </c>
    </row>
    <row r="4">
      <c r="A4" t="inlineStr">
        <is>
          <t>906→910</t>
        </is>
      </c>
      <c r="B4" t="inlineStr">
        <is>
          <t>driver4 운전자본 — 하이브리드(플래그방식)</t>
        </is>
      </c>
      <c r="C4" t="inlineStr">
        <is>
          <t>**최종 기각**, 현행(유동부채 전액차감)+한계공개로 종결</t>
        </is>
      </c>
      <c r="D4" t="inlineStr">
        <is>
          <t>이자부제외 시 도미노와 정확일치하나 커버리지 53%로 급락</t>
        </is>
      </c>
    </row>
    <row r="5">
      <c r="A5" t="inlineStr">
        <is>
          <t>908</t>
        </is>
      </c>
      <c r="B5" t="inlineStr">
        <is>
          <t>Vercel 로그 조회 채널 — CLI(5분제한)·MCP(403) vs 대시보드</t>
        </is>
      </c>
      <c r="C5" t="inlineStr">
        <is>
          <t>기각(CLI·MCP) / 채택(대시보드, Hobby플랜 1시간보존)</t>
        </is>
      </c>
      <c r="D5" t="inlineStr">
        <is>
          <t>접근성</t>
        </is>
      </c>
    </row>
    <row r="6">
      <c r="A6" t="inlineStr">
        <is>
          <t>913-914</t>
        </is>
      </c>
      <c r="B6" t="inlineStr">
        <is>
          <t>`lens_cuts` 신선도 판정 컬럼 — `updated_at` vs `as_of`</t>
        </is>
      </c>
      <c r="C6" t="inlineStr">
        <is>
          <t>기각(updated_at, 트리거없어 신뢰불가) / 채택(as_of)</t>
        </is>
      </c>
      <c r="D6" t="inlineStr">
        <is>
          <t>신뢰성</t>
        </is>
      </c>
    </row>
    <row r="7">
      <c r="A7" t="inlineStr">
        <is>
          <t>918-919</t>
        </is>
      </c>
      <c r="B7" t="inlineStr">
        <is>
          <t>driver3 세율 병기 / "판정불가" 라벨체계(Morningstar식) / 원전 저·기준·고 성장시나리오 알고리즘화</t>
        </is>
      </c>
      <c r="C7" t="inlineStr">
        <is>
          <t>채택(병기) / 기각(라벨체계, 원전에 개념없음) / 기각(알고리즘화, 원전이 정성판단뿐)</t>
        </is>
      </c>
      <c r="D7" t="inlineStr">
        <is>
          <t>—</t>
        </is>
      </c>
    </row>
    <row r="8">
      <c r="A8" t="inlineStr">
        <is>
          <t>921/927/928</t>
        </is>
      </c>
      <c r="B8" t="inlineStr">
        <is>
          <t>DoD9 라이브검증 채널 — Vercel Preview</t>
        </is>
      </c>
      <c r="C8" t="inlineStr">
        <is>
          <t>부분채택(env 추가해 수리)</t>
        </is>
      </c>
      <c r="D8" t="inlineStr">
        <is>
          <t>Production 대체인정 여부 미결</t>
        </is>
      </c>
    </row>
    <row r="9">
      <c r="A9" t="inlineStr">
        <is>
          <t>904</t>
        </is>
      </c>
      <c r="B9" t="inlineStr">
        <is>
          <t>SEC frames "하한" 재라벨링</t>
        </is>
      </c>
      <c r="C9" t="inlineStr">
        <is>
          <t>**무효 판정**</t>
        </is>
      </c>
      <c r="D9" t="inlineStr">
        <is>
          <t>866이 "frames는 하한이 아니라 다른 모집단"이라 뒤집어 전제 자체가 소멸</t>
        </is>
      </c>
    </row>
    <row r="10">
      <c r="A10" t="inlineStr">
        <is>
          <t>923-924</t>
        </is>
      </c>
      <c r="B10" t="inlineStr">
        <is>
          <t>종목명 표시소스 — `lens_scores.name`(34.9%결손) 근본수정 vs 표시계층 대체</t>
        </is>
      </c>
      <c r="C10" t="inlineStr">
        <is>
          <t>기각(근본수정) / 채택(B안, 표시계층에서만 `us_symbols.json` 대체)</t>
        </is>
      </c>
      <c r="D10" t="inlineStr">
        <is>
          <t>범위축소</t>
        </is>
      </c>
    </row>
    <row r="11">
      <c r="A11" t="inlineStr">
        <is>
          <t>934→935→937</t>
        </is>
      </c>
      <c r="B11" t="inlineStr">
        <is>
          <t>US 시총취득 실패 원인(4회 뒤집힘)</t>
        </is>
      </c>
      <c r="C11" t="inlineStr">
        <is>
          <t>위 "전제 변화" #4 참조</t>
        </is>
      </c>
      <c r="D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2026-08-12T06:03:47Z</dcterms:created>
  <dcterms:modified xmlns:dcterms="http://purl.org/dc/terms/" xmlns:xsi="http://www.w3.org/2001/XMLSchema-instance" xsi:type="dcterms:W3CDTF">2026-08-13T13:51:23Z</dcterms:modified>
</cp:coreProperties>
</file>